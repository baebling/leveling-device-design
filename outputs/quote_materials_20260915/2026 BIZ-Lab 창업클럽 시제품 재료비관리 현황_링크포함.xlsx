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quote_materials_20260915/"/>
    </mc:Choice>
  </mc:AlternateContent>
  <xr:revisionPtr revIDLastSave="1" documentId="11_31318DB1783140B9442A6B363350419B2ED0C1B0" xr6:coauthVersionLast="47" xr6:coauthVersionMax="47" xr10:uidLastSave="{ACA38B3A-A0B0-4D94-854B-95C758709F9D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 l="1"/>
  <c r="H31" i="1" s="1"/>
  <c r="H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000-000001000000}">
      <text>
        <r>
          <rPr>
            <sz val="11"/>
            <color theme="1"/>
            <rFont val="Calibri"/>
          </rPr>
          <t>======
ID#AAAB6AapIrQ
user    (2026-05-10 13:04:13)
배송비등 포함 확인</t>
        </r>
      </text>
    </comment>
    <comment ref="H13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<sst xmlns="http://schemas.openxmlformats.org/spreadsheetml/2006/main" count="140" uniqueCount="89">
  <si>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</si>
  <si>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</si>
  <si>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</si>
  <si>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</si>
  <si>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</si>
  <si>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</si>
  <si>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</si>
  <si>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</si>
  <si>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</si>
  <si>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</si>
  <si>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</si>
  <si>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</si>
  <si>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</si>
  <si>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툴 (SINWASOKUTEI)</t>
  </si>
  <si>
    <t>13013</t>
  </si>
  <si>
    <t>공급단가 9,710원</t>
  </si>
  <si>
    <t>캘리퍼스 (블루버드)</t>
  </si>
  <si>
    <t>NA530-150S</t>
  </si>
  <si>
    <t>공급단가 22,680원</t>
  </si>
  <si>
    <t>TRC MONKEY WRENCHES (트러스코)</t>
  </si>
  <si>
    <t>TMRU-24</t>
  </si>
  <si>
    <t>공급단가 39,860원</t>
  </si>
  <si>
    <t>로드엔드 (IKO)</t>
  </si>
  <si>
    <t>PHS12A</t>
  </si>
  <si>
    <t>공급단가 11,028원</t>
  </si>
  <si>
    <t>SPANNER/WRENCH (썬키)</t>
  </si>
  <si>
    <t>SBW-9G</t>
  </si>
  <si>
    <t>공급단가 13,720원</t>
  </si>
  <si>
    <t>SA11 FASTENING (산코)</t>
  </si>
  <si>
    <t>HNT3-ST-M12</t>
  </si>
  <si>
    <t>공급단가 287원</t>
  </si>
  <si>
    <t>알루미늄 프레임 (MISUMI)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</si>
  <si>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</si>
  <si>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</si>
  <si>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</si>
  <si>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</si>
  <si>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</si>
  <si>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</si>
  <si>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</si>
  <si>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</si>
  <si>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알루미늄 프레임용 브라켓 (MISUMI)</t>
  </si>
  <si>
    <t>HBLSSB8-SET</t>
  </si>
  <si>
    <t>공급단가 4,013원</t>
  </si>
  <si>
    <t>샤프트 홀더 (MISUMI)</t>
  </si>
  <si>
    <t>SHAT12</t>
  </si>
  <si>
    <t>공급단가 5,991원</t>
  </si>
  <si>
    <t>리니어 샤프트 (MISUMI)</t>
  </si>
  <si>
    <t>SFU12-100</t>
  </si>
  <si>
    <t>공급단가 11,506원</t>
  </si>
  <si>
    <t>세트 칼라 (MISUMI)</t>
  </si>
  <si>
    <t>SCSJ12-6</t>
  </si>
  <si>
    <t>공급단가 6,289원</t>
  </si>
  <si>
    <t>알루미늄 프레임용 너트 (MISUMI)</t>
  </si>
  <si>
    <t>HNTT8-5</t>
  </si>
  <si>
    <t>공급단가 533원</t>
  </si>
  <si>
    <t>볼트 (MISUMI)</t>
  </si>
  <si>
    <t>CB5-16</t>
  </si>
  <si>
    <t>공급단가 258원</t>
  </si>
  <si>
    <t>금속와셔/칼라 (MISUMI)</t>
  </si>
  <si>
    <t>FWSSB-D9-V5.5-T1</t>
  </si>
  <si>
    <t>공급단가 3,140원</t>
  </si>
  <si>
    <t>심링 30개/팩 (MISUMI)</t>
  </si>
  <si>
    <t>PCIMR12-18-1.0</t>
  </si>
  <si>
    <t>공급단가 16,640원 / 2팩·총 60개</t>
  </si>
  <si>
    <t>SHIMS (MISUMI)</t>
  </si>
  <si>
    <t>CIMR12-18-0.5</t>
  </si>
  <si>
    <t>공급단가 700원</t>
  </si>
  <si>
    <t>CIMR12-18-0.2</t>
  </si>
  <si>
    <t>CLAMPING SCREWS / BOLTS (나베야 바이텍)</t>
  </si>
  <si>
    <t>STB-M12</t>
  </si>
  <si>
    <t>공급단가 40,808원</t>
  </si>
  <si>
    <t>BOLTS &amp; NUTS (이마오 코퍼레이션)</t>
  </si>
  <si>
    <t>BJ761-12011N</t>
  </si>
  <si>
    <t>공급단가 8,764원</t>
  </si>
  <si>
    <t>FREE NUT-V (MISUMI)</t>
  </si>
  <si>
    <t>NTFL12-36</t>
  </si>
  <si>
    <t>공급단가 10,320원</t>
  </si>
  <si>
    <t>SA1 NUT (산코)</t>
  </si>
  <si>
    <t>HNT1-ST-M12</t>
  </si>
  <si>
    <t>공급단가 232원</t>
  </si>
  <si>
    <t>공급가액 소계</t>
  </si>
  <si>
    <t>24개 품목 / 견적 기준</t>
  </si>
  <si>
    <t>부가세 (10%)</t>
  </si>
  <si>
    <t>견적서 총 부가세 기준</t>
  </si>
  <si>
    <t>배송비 (할인 반영)</t>
  </si>
  <si>
    <t>배송비 2,500원 − 할인 2,500원</t>
  </si>
  <si>
    <t>총  액 (부가세 포함)</t>
  </si>
  <si>
    <t>구매·결제 전 견적 금액</t>
  </si>
  <si>
    <t>본 견적 구매 시 예상 잔액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</si>
</sst>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1">
    <numFmt numFmtId="176" formatCode="_-* #,##0_-;\-* #,##0_-;_-* &quot;-&quot;_-;_-@"/>
  </numFmts>
  <fonts count="18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563C1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34</xdr:row>
      <xdr:rowOff>190500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55CB383-087C-1A1C-9F6E-9FF531C61B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3" Type="http://schemas.openxmlformats.org/officeDocument/2006/relationships/comments" Target="../comments1.xml" /><ns0:Relationship Id="rId2" Type="http://schemas.openxmlformats.org/officeDocument/2006/relationships/vmlDrawing" Target="../drawings/vmlDrawing1.vml" /><ns0:Relationship Id="rId1" Type="http://schemas.openxmlformats.org/officeDocument/2006/relationships/drawing" Target="../drawings/drawing1.xml" /><ns0:Relationship Id="rIdProductLink1" Type="http://schemas.openxmlformats.org/officeDocument/2006/relationships/hyperlink" Target="https://kr.misumi-ec.com/vona2/detail/223000490134/" TargetMode="External" /><ns0:Relationship Id="rIdProductLink2" Type="http://schemas.openxmlformats.org/officeDocument/2006/relationships/hyperlink" Target="https://kr.misumi-ec.com/vona2/detail/223005846932/" TargetMode="External" /><ns0:Relationship Id="rIdProductLink3" Type="http://schemas.openxmlformats.org/officeDocument/2006/relationships/hyperlink" Target="https://kr.misumi-ec.com/vona2/detail/223000770090/" TargetMode="External" /><ns0:Relationship Id="rIdProductLink4" Type="http://schemas.openxmlformats.org/officeDocument/2006/relationships/hyperlink" Target="https://kr.misumi-ec.com/vona2/detail/221005154213/" TargetMode="External" /><ns0:Relationship Id="rIdProductLink5" Type="http://schemas.openxmlformats.org/officeDocument/2006/relationships/hyperlink" Target="https://kr.misumi-ec.com/vona2/detail/223006501706/" TargetMode="External" /><ns0:Relationship Id="rIdProductLink6" Type="http://schemas.openxmlformats.org/officeDocument/2006/relationships/hyperlink" Target="https://kr.misumi-ec.com/vona2/detail/221000544514/" TargetMode="External" /><ns0:Relationship Id="rIdProductLink7" Type="http://schemas.openxmlformats.org/officeDocument/2006/relationships/hyperlink" Target="https://kr.misumi-ec.com/vona2/detail/110302689860/" TargetMode="External" /><ns0:Relationship Id="rIdProductLink8" Type="http://schemas.openxmlformats.org/officeDocument/2006/relationships/hyperlink" Target="https://kr.misumi-ec.com/vona2/detail/110302689860/" TargetMode="External" /><ns0:Relationship Id="rIdProductLink9" Type="http://schemas.openxmlformats.org/officeDocument/2006/relationships/hyperlink" Target="https://kr.misumi-ec.com/vona2/detail/110302690310/" TargetMode="External" /><ns0:Relationship Id="rIdProductLink10" Type="http://schemas.openxmlformats.org/officeDocument/2006/relationships/hyperlink" Target="https://kr.misumi-ec.com/vona2/detail/110302690310/" TargetMode="External" /><ns0:Relationship Id="rIdProductLink11" Type="http://schemas.openxmlformats.org/officeDocument/2006/relationships/hyperlink" Target="https://kr.misumi-ec.com/vona2/detail/110300451010/" TargetMode="External" /><ns0:Relationship Id="rIdProductLink12" Type="http://schemas.openxmlformats.org/officeDocument/2006/relationships/hyperlink" Target="https://kr.misumi-ec.com/vona2/detail/110300013940/" TargetMode="External" /><ns0:Relationship Id="rIdProductLink13" Type="http://schemas.openxmlformats.org/officeDocument/2006/relationships/hyperlink" Target="https://kr.misumi-ec.com/vona2/detail/110302634310/" TargetMode="External" /><ns0:Relationship Id="rIdProductLink14" Type="http://schemas.openxmlformats.org/officeDocument/2006/relationships/hyperlink" Target="https://kr.misumi-ec.com/vona2/detail/110302636410/" TargetMode="External" /><ns0:Relationship Id="rIdProductLink15" Type="http://schemas.openxmlformats.org/officeDocument/2006/relationships/hyperlink" Target="https://kr.misumi-ec.com/vona2/detail/110302614530/" TargetMode="External" /><ns0:Relationship Id="rIdProductLink16" Type="http://schemas.openxmlformats.org/officeDocument/2006/relationships/hyperlink" Target="https://kr.misumi-ec.com/vona2/detail/110100141750/" TargetMode="External" /><ns0:Relationship Id="rIdProductLink17" Type="http://schemas.openxmlformats.org/officeDocument/2006/relationships/hyperlink" Target="https://kr.misumi-ec.com/vona2/detail/110300231910/" TargetMode="External" /><ns0:Relationship Id="rIdProductLink18" Type="http://schemas.openxmlformats.org/officeDocument/2006/relationships/hyperlink" Target="https://kr.misumi-ec.com/vona2/detail/110302677870/" TargetMode="External" /><ns0:Relationship Id="rIdProductLink19" Type="http://schemas.openxmlformats.org/officeDocument/2006/relationships/hyperlink" Target="https://kr.misumi-ec.com/vona2/detail/110302677870/" TargetMode="External" /><ns0:Relationship Id="rIdProductLink20" Type="http://schemas.openxmlformats.org/officeDocument/2006/relationships/hyperlink" Target="https://kr.misumi-ec.com/vona2/detail/110302677870/" TargetMode="External" /><ns0:Relationship Id="rIdProductLink21" Type="http://schemas.openxmlformats.org/officeDocument/2006/relationships/hyperlink" Target="https://kr.misumi-ec.com/vona2/detail/221006450842/" TargetMode="External" /><ns0:Relationship Id="rIdProductLink22" Type="http://schemas.openxmlformats.org/officeDocument/2006/relationships/hyperlink" Target="https://kr.misumi-ec.com/vona2/detail/221000368158/" TargetMode="External" /><ns0:Relationship Id="rIdProductLink23" Type="http://schemas.openxmlformats.org/officeDocument/2006/relationships/hyperlink" Target="https://kr.misumi-ec.com/vona2/detail/110300251420/" TargetMode="External" /><ns0:Relationship Id="rIdProductLink24" Type="http://schemas.openxmlformats.org/officeDocument/2006/relationships/hyperlink" Target="https://kr.misumi-ec.com/vona2/detail/221000544334/" TargetMode="External" /></ns0: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dimension ref="B1:Z1000"/>
  <sheetViews>
    <sheetView tabSelected="1" workbookViewId="0">
      <selection activeCell="I30" sqref="I30"/>
    </sheetView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9" t="s">
        <v>13</v>
      </c>
      <c r="E4" s="18" t="s">
        <v>14</v>
      </c>
      <c r="F4" s="17">
        <v>1</v>
      </c>
      <c r="G4" s="41" t="inlineStr">
        <is>
          <t>상품 보기</t>
        </is>
      </c>
      <c r="H4" s="16">
        <v>9710</v>
      </c>
      <c r="I4" s="11" t="s">
        <v>15</v>
      </c>
      <c r="M4" s="1"/>
    </row>
    <row r="5" spans="2:26" ht="23.1" customHeight="1">
      <c r="B5" s="9" t="s">
        <v>11</v>
      </c>
      <c r="C5" s="9" t="s">
        <v>12</v>
      </c>
      <c r="D5" s="9" t="s">
        <v>16</v>
      </c>
      <c r="E5" s="18" t="s">
        <v>17</v>
      </c>
      <c r="F5" s="17">
        <v>1</v>
      </c>
      <c r="G5" s="42" t="inlineStr">
        <is>
          <t>상품 보기</t>
        </is>
      </c>
      <c r="H5" s="16">
        <v>22680</v>
      </c>
      <c r="I5" s="11" t="s">
        <v>18</v>
      </c>
      <c r="M5" s="1"/>
    </row>
    <row r="6" spans="2:26" ht="23.1" customHeight="1">
      <c r="B6" s="9" t="s">
        <v>11</v>
      </c>
      <c r="C6" s="9" t="s">
        <v>12</v>
      </c>
      <c r="D6" s="9" t="s">
        <v>19</v>
      </c>
      <c r="E6" s="18" t="s">
        <v>20</v>
      </c>
      <c r="F6" s="17">
        <v>2</v>
      </c>
      <c r="G6" s="43" t="inlineStr">
        <is>
          <t>상품 보기</t>
        </is>
      </c>
      <c r="H6" s="16">
        <v>79720</v>
      </c>
      <c r="I6" s="9" t="s">
        <v>21</v>
      </c>
      <c r="M6" s="1"/>
    </row>
    <row r="7" spans="2:26" ht="23.1" customHeight="1">
      <c r="B7" s="9" t="s">
        <v>11</v>
      </c>
      <c r="C7" s="9" t="s">
        <v>12</v>
      </c>
      <c r="D7" s="40" t="s">
        <v>22</v>
      </c>
      <c r="E7" s="18" t="s">
        <v>23</v>
      </c>
      <c r="F7" s="17">
        <v>3</v>
      </c>
      <c r="G7" s="44" t="inlineStr">
        <is>
          <t>상품 보기</t>
        </is>
      </c>
      <c r="H7" s="16">
        <v>33084</v>
      </c>
      <c r="I7" s="9" t="s">
        <v>24</v>
      </c>
      <c r="M7" s="1"/>
    </row>
    <row r="8" spans="2:26" ht="23.1" customHeight="1">
      <c r="B8" s="9" t="s">
        <v>11</v>
      </c>
      <c r="C8" s="9" t="s">
        <v>12</v>
      </c>
      <c r="D8" s="9" t="s">
        <v>25</v>
      </c>
      <c r="E8" s="18" t="s">
        <v>26</v>
      </c>
      <c r="F8" s="17">
        <v>1</v>
      </c>
      <c r="G8" s="45" t="inlineStr">
        <is>
          <t>상품 보기</t>
        </is>
      </c>
      <c r="H8" s="16">
        <v>13720</v>
      </c>
      <c r="I8" s="9" t="s">
        <v>27</v>
      </c>
      <c r="M8" s="1"/>
    </row>
    <row r="9" spans="2:26" ht="23.1" customHeight="1">
      <c r="B9" s="9" t="s">
        <v>11</v>
      </c>
      <c r="C9" s="9" t="s">
        <v>12</v>
      </c>
      <c r="D9" s="9" t="s">
        <v>28</v>
      </c>
      <c r="E9" s="18" t="s">
        <v>29</v>
      </c>
      <c r="F9" s="17">
        <v>6</v>
      </c>
      <c r="G9" s="44" t="inlineStr">
        <is>
          <t>상품 보기</t>
        </is>
      </c>
      <c r="H9" s="16">
        <v>1722</v>
      </c>
      <c r="I9" s="9" t="s">
        <v>30</v>
      </c>
      <c r="M9" s="1"/>
    </row>
    <row r="10" spans="2:26" ht="23.1" customHeight="1">
      <c r="B10" s="9" t="s">
        <v>11</v>
      </c>
      <c r="C10" s="9" t="s">
        <v>12</v>
      </c>
      <c r="D10" s="9" t="s">
        <v>31</v>
      </c>
      <c r="E10" s="18" t="s">
        <v>32</v>
      </c>
      <c r="F10" s="17">
        <v>4</v>
      </c>
      <c r="G10" s="44" t="inlineStr">
        <is>
          <t>상품 보기</t>
        </is>
      </c>
      <c r="H10" s="16">
        <v>148400</v>
      </c>
      <c r="I10" s="9" t="s">
        <v>33</v>
      </c>
      <c r="M10" s="1"/>
    </row>
    <row r="11" spans="2:26" ht="23.1" customHeight="1">
      <c r="B11" s="9" t="s">
        <v>11</v>
      </c>
      <c r="C11" s="9" t="s">
        <v>12</v>
      </c>
      <c r="D11" s="9" t="s">
        <v>31</v>
      </c>
      <c r="E11" s="18" t="s">
        <v>34</v>
      </c>
      <c r="F11" s="17">
        <v>4</v>
      </c>
      <c r="G11" s="46" t="inlineStr">
        <is>
          <t>상품 보기</t>
        </is>
      </c>
      <c r="H11" s="16">
        <v>131440</v>
      </c>
      <c r="I11" s="9" t="s">
        <v>35</v>
      </c>
      <c r="M11" s="1"/>
    </row>
    <row r="12" spans="2:26" ht="23.1" customHeight="1">
      <c r="B12" s="9" t="s">
        <v>11</v>
      </c>
      <c r="C12" s="9" t="s">
        <v>12</v>
      </c>
      <c r="D12" s="9" t="s">
        <v>31</v>
      </c>
      <c r="E12" s="18" t="s">
        <v>36</v>
      </c>
      <c r="F12" s="17">
        <v>2</v>
      </c>
      <c r="G12" s="44" t="inlineStr">
        <is>
          <t>상품 보기</t>
        </is>
      </c>
      <c r="H12" s="16">
        <v>79360</v>
      </c>
      <c r="I12" s="9" t="s">
        <v>37</v>
      </c>
      <c r="M12" s="1"/>
    </row>
    <row r="13" spans="2:26" ht="23.1" customHeight="1">
      <c r="B13" s="9" t="s">
        <v>11</v>
      </c>
      <c r="C13" s="9" t="s">
        <v>12</v>
      </c>
      <c r="D13" s="9" t="s">
        <v>31</v>
      </c>
      <c r="E13" s="18" t="s">
        <v>38</v>
      </c>
      <c r="F13" s="17">
        <v>2</v>
      </c>
      <c r="G13" s="44" t="inlineStr">
        <is>
          <t>상품 보기</t>
        </is>
      </c>
      <c r="H13" s="16">
        <v>57600</v>
      </c>
      <c r="I13" s="9" t="s">
        <v>39</v>
      </c>
      <c r="M13" s="1"/>
    </row>
    <row r="14" spans="2:26" ht="23.1" customHeight="1">
      <c r="B14" s="9" t="s">
        <v>11</v>
      </c>
      <c r="C14" s="9" t="s">
        <v>12</v>
      </c>
      <c r="D14" s="9" t="s">
        <v>40</v>
      </c>
      <c r="E14" s="18" t="s">
        <v>41</v>
      </c>
      <c r="F14" s="17">
        <v>24</v>
      </c>
      <c r="G14" s="44" t="inlineStr">
        <is>
          <t>상품 보기</t>
        </is>
      </c>
      <c r="H14" s="16">
        <v>96312</v>
      </c>
      <c r="I14" s="9" t="s">
        <v>42</v>
      </c>
      <c r="M14" s="1"/>
    </row>
    <row r="15" spans="2:26" ht="23.1" customHeight="1">
      <c r="B15" s="9" t="s">
        <v>11</v>
      </c>
      <c r="C15" s="9" t="s">
        <v>12</v>
      </c>
      <c r="D15" s="9" t="s">
        <v>43</v>
      </c>
      <c r="E15" s="18" t="s">
        <v>44</v>
      </c>
      <c r="F15" s="17">
        <v>12</v>
      </c>
      <c r="G15" s="44" t="inlineStr">
        <is>
          <t>상품 보기</t>
        </is>
      </c>
      <c r="H15" s="16">
        <v>71892</v>
      </c>
      <c r="I15" s="9" t="s">
        <v>45</v>
      </c>
      <c r="M15" s="1"/>
    </row>
    <row r="16" spans="2:26" ht="23.1" customHeight="1">
      <c r="B16" s="9" t="s">
        <v>11</v>
      </c>
      <c r="C16" s="9" t="s">
        <v>12</v>
      </c>
      <c r="D16" s="9" t="s">
        <v>46</v>
      </c>
      <c r="E16" s="18" t="s">
        <v>47</v>
      </c>
      <c r="F16" s="17">
        <v>6</v>
      </c>
      <c r="G16" s="44" t="inlineStr">
        <is>
          <t>상품 보기</t>
        </is>
      </c>
      <c r="H16" s="16">
        <v>69036</v>
      </c>
      <c r="I16" s="9" t="s">
        <v>48</v>
      </c>
      <c r="M16" s="1"/>
    </row>
    <row r="17" spans="2:13" ht="23.1" customHeight="1">
      <c r="B17" s="9" t="s">
        <v>11</v>
      </c>
      <c r="C17" s="9" t="s">
        <v>12</v>
      </c>
      <c r="D17" s="9" t="s">
        <v>49</v>
      </c>
      <c r="E17" s="18" t="s">
        <v>50</v>
      </c>
      <c r="F17" s="17">
        <v>12</v>
      </c>
      <c r="G17" s="44" t="inlineStr">
        <is>
          <t>상품 보기</t>
        </is>
      </c>
      <c r="H17" s="16">
        <v>75468</v>
      </c>
      <c r="I17" s="9" t="s">
        <v>51</v>
      </c>
      <c r="M17" s="1"/>
    </row>
    <row r="18" spans="2:13" ht="23.1" customHeight="1">
      <c r="B18" s="9" t="s">
        <v>11</v>
      </c>
      <c r="C18" s="9" t="s">
        <v>12</v>
      </c>
      <c r="D18" s="9" t="s">
        <v>52</v>
      </c>
      <c r="E18" s="18" t="s">
        <v>53</v>
      </c>
      <c r="F18" s="17">
        <v>24</v>
      </c>
      <c r="G18" s="45" t="inlineStr">
        <is>
          <t>상품 보기</t>
        </is>
      </c>
      <c r="H18" s="16">
        <v>12792</v>
      </c>
      <c r="I18" s="9" t="s">
        <v>54</v>
      </c>
      <c r="M18" s="1"/>
    </row>
    <row r="19" spans="2:13" ht="23.1" customHeight="1">
      <c r="B19" s="9" t="s">
        <v>11</v>
      </c>
      <c r="C19" s="9" t="s">
        <v>12</v>
      </c>
      <c r="D19" s="9" t="s">
        <v>55</v>
      </c>
      <c r="E19" s="18" t="s">
        <v>56</v>
      </c>
      <c r="F19" s="17">
        <v>24</v>
      </c>
      <c r="G19" s="44" t="inlineStr">
        <is>
          <t>상품 보기</t>
        </is>
      </c>
      <c r="H19" s="16">
        <v>6192</v>
      </c>
      <c r="I19" s="9" t="s">
        <v>57</v>
      </c>
      <c r="M19" s="1"/>
    </row>
    <row r="20" spans="2:13" ht="23.1" customHeight="1">
      <c r="B20" s="19" t="s">
        <v>11</v>
      </c>
      <c r="C20" s="19" t="s">
        <v>12</v>
      </c>
      <c r="D20" s="19" t="s">
        <v>58</v>
      </c>
      <c r="E20" s="20" t="s">
        <v>59</v>
      </c>
      <c r="F20" s="21">
        <v>24</v>
      </c>
      <c r="G20" s="47" t="inlineStr">
        <is>
          <t>상품 보기</t>
        </is>
      </c>
      <c r="H20" s="22">
        <v>75360</v>
      </c>
      <c r="I20" s="19" t="s">
        <v>60</v>
      </c>
      <c r="M20" s="1"/>
    </row>
    <row r="21" spans="2:13" ht="23.1" customHeight="1">
      <c r="B21" s="19" t="s">
        <v>11</v>
      </c>
      <c r="C21" s="19" t="s">
        <v>12</v>
      </c>
      <c r="D21" s="19" t="s">
        <v>61</v>
      </c>
      <c r="E21" s="20" t="s">
        <v>62</v>
      </c>
      <c r="F21" s="21">
        <v>2</v>
      </c>
      <c r="G21" s="47" t="inlineStr">
        <is>
          <t>상품 보기</t>
        </is>
      </c>
      <c r="H21" s="22">
        <v>33280</v>
      </c>
      <c r="I21" s="19" t="s">
        <v>63</v>
      </c>
      <c r="M21" s="1"/>
    </row>
    <row r="22" spans="2:13" ht="23.1" customHeight="1">
      <c r="B22" s="19" t="s">
        <v>11</v>
      </c>
      <c r="C22" s="19" t="s">
        <v>12</v>
      </c>
      <c r="D22" s="19" t="s">
        <v>64</v>
      </c>
      <c r="E22" s="20" t="s">
        <v>65</v>
      </c>
      <c r="F22" s="21">
        <v>6</v>
      </c>
      <c r="G22" s="47" t="inlineStr">
        <is>
          <t>상품 보기</t>
        </is>
      </c>
      <c r="H22" s="22">
        <v>4200</v>
      </c>
      <c r="I22" s="19" t="s">
        <v>66</v>
      </c>
      <c r="M22" s="1"/>
    </row>
    <row r="23" spans="2:13" ht="23.1" customHeight="1">
      <c r="B23" s="19" t="s">
        <v>11</v>
      </c>
      <c r="C23" s="19" t="s">
        <v>12</v>
      </c>
      <c r="D23" s="19" t="s">
        <v>64</v>
      </c>
      <c r="E23" s="20" t="s">
        <v>67</v>
      </c>
      <c r="F23" s="21">
        <v>12</v>
      </c>
      <c r="G23" s="47" t="inlineStr">
        <is>
          <t>상품 보기</t>
        </is>
      </c>
      <c r="H23" s="22">
        <v>8400</v>
      </c>
      <c r="I23" s="19" t="s">
        <v>66</v>
      </c>
      <c r="M23" s="1"/>
    </row>
    <row r="24" spans="2:13" ht="23.1" customHeight="1">
      <c r="B24" s="19" t="s">
        <v>11</v>
      </c>
      <c r="C24" s="19" t="s">
        <v>12</v>
      </c>
      <c r="D24" s="19" t="s">
        <v>68</v>
      </c>
      <c r="E24" s="20" t="s">
        <v>69</v>
      </c>
      <c r="F24" s="21">
        <v>3</v>
      </c>
      <c r="G24" s="47" t="inlineStr">
        <is>
          <t>상품 보기</t>
        </is>
      </c>
      <c r="H24" s="22">
        <v>122424</v>
      </c>
      <c r="I24" s="19" t="s">
        <v>70</v>
      </c>
      <c r="M24" s="1"/>
    </row>
    <row r="25" spans="2:13" ht="23.1" customHeight="1">
      <c r="B25" s="19" t="s">
        <v>11</v>
      </c>
      <c r="C25" s="19" t="s">
        <v>12</v>
      </c>
      <c r="D25" s="19" t="s">
        <v>71</v>
      </c>
      <c r="E25" s="20" t="s">
        <v>72</v>
      </c>
      <c r="F25" s="21">
        <v>3</v>
      </c>
      <c r="G25" s="47" t="inlineStr">
        <is>
          <t>상품 보기</t>
        </is>
      </c>
      <c r="H25" s="22">
        <v>26292</v>
      </c>
      <c r="I25" s="19" t="s">
        <v>73</v>
      </c>
      <c r="M25" s="1"/>
    </row>
    <row r="26" spans="2:13" ht="23.1" customHeight="1">
      <c r="B26" s="19" t="s">
        <v>11</v>
      </c>
      <c r="C26" s="19" t="s">
        <v>12</v>
      </c>
      <c r="D26" s="19" t="s">
        <v>74</v>
      </c>
      <c r="E26" s="20" t="s">
        <v>75</v>
      </c>
      <c r="F26" s="21">
        <v>3</v>
      </c>
      <c r="G26" s="47" t="inlineStr">
        <is>
          <t>상품 보기</t>
        </is>
      </c>
      <c r="H26" s="22">
        <v>30960</v>
      </c>
      <c r="I26" s="19" t="s">
        <v>76</v>
      </c>
      <c r="M26" s="1"/>
    </row>
    <row r="27" spans="2:13" ht="23.1" customHeight="1">
      <c r="B27" s="19" t="s">
        <v>11</v>
      </c>
      <c r="C27" s="19" t="s">
        <v>12</v>
      </c>
      <c r="D27" s="19" t="s">
        <v>77</v>
      </c>
      <c r="E27" s="20" t="s">
        <v>78</v>
      </c>
      <c r="F27" s="21">
        <v>3</v>
      </c>
      <c r="G27" s="47" t="inlineStr">
        <is>
          <t>상품 보기</t>
        </is>
      </c>
      <c r="H27" s="22">
        <v>696</v>
      </c>
      <c r="I27" s="19" t="s">
        <v>79</v>
      </c>
      <c r="M27" s="1"/>
    </row>
    <row r="28" spans="2:13" ht="23.1" customHeight="1">
      <c r="B28" s="37" t="s">
        <v>80</v>
      </c>
      <c r="C28" s="38"/>
      <c r="D28" s="38"/>
      <c r="E28" s="38"/>
      <c r="F28" s="39"/>
      <c r="G28" s="19"/>
      <c r="H28" s="22">
        <f>SUM(H4:H27)</f>
        <v>1210740</v>
      </c>
      <c r="I28" s="19" t="s">
        <v>81</v>
      </c>
      <c r="M28" s="1"/>
    </row>
    <row r="29" spans="2:13" ht="23.1" customHeight="1">
      <c r="B29" s="37" t="s">
        <v>82</v>
      </c>
      <c r="C29" s="38"/>
      <c r="D29" s="38"/>
      <c r="E29" s="38"/>
      <c r="F29" s="39"/>
      <c r="G29" s="19"/>
      <c r="H29" s="22">
        <f>ROUND(H28*10%,0)</f>
        <v>121074</v>
      </c>
      <c r="I29" s="19" t="s">
        <v>83</v>
      </c>
      <c r="M29" s="1"/>
    </row>
    <row r="30" spans="2:13" ht="23.1" customHeight="1">
      <c r="B30" s="37" t="s">
        <v>84</v>
      </c>
      <c r="C30" s="38"/>
      <c r="D30" s="38"/>
      <c r="E30" s="38"/>
      <c r="F30" s="39"/>
      <c r="G30" s="19"/>
      <c r="H30" s="22">
        <v>0</v>
      </c>
      <c r="I30" s="19" t="s">
        <v>85</v>
      </c>
      <c r="M30" s="1"/>
    </row>
    <row r="31" spans="2:13" ht="23.1" customHeight="1">
      <c r="B31" s="29" t="s">
        <v>86</v>
      </c>
      <c r="C31" s="30"/>
      <c r="D31" s="30"/>
      <c r="E31" s="31"/>
      <c r="F31" s="32"/>
      <c r="G31" s="23"/>
      <c r="H31" s="24">
        <f>SUM(H28:H30)</f>
        <v>1331814</v>
      </c>
      <c r="I31" s="25" t="s">
        <v>87</v>
      </c>
      <c r="M31" s="1"/>
    </row>
    <row r="32" spans="2:13" ht="23.1" customHeight="1">
      <c r="B32" s="33" t="s">
        <v>9</v>
      </c>
      <c r="C32" s="34"/>
      <c r="D32" s="34"/>
      <c r="E32" s="35"/>
      <c r="F32" s="36"/>
      <c r="G32" s="26"/>
      <c r="H32" s="27">
        <f>I2-H31</f>
        <v>2668186</v>
      </c>
      <c r="I32" s="28" t="s">
        <v>88</v>
      </c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G43" s="5"/>
      <c r="I43" s="2"/>
      <c r="M43" s="1"/>
    </row>
    <row r="44" spans="2:13" ht="16.5" customHeight="1">
      <c r="B44" s="1"/>
      <c r="C44" s="1"/>
      <c r="D44" s="1"/>
      <c r="G44" s="5"/>
      <c r="I44" s="2"/>
      <c r="M44" s="1"/>
    </row>
    <row r="45" spans="2:13" ht="16.5" customHeight="1">
      <c r="B45" s="1"/>
      <c r="C45" s="1"/>
      <c r="D45" s="1"/>
      <c r="G45" s="5"/>
      <c r="I45" s="2"/>
      <c r="M45" s="1"/>
    </row>
    <row r="46" spans="2:13" ht="16.5" customHeight="1">
      <c r="B46" s="1"/>
      <c r="C46" s="1"/>
      <c r="D46" s="1"/>
      <c r="G46" s="5"/>
      <c r="I46" s="2"/>
      <c r="M46" s="1"/>
    </row>
    <row r="47" spans="2:13" ht="16.5" customHeight="1">
      <c r="B47" s="1"/>
      <c r="C47" s="1"/>
      <c r="D47" s="1"/>
      <c r="G47" s="5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  <row r="996" spans="2:13" ht="16.5" customHeight="1">
      <c r="B996" s="1"/>
      <c r="C996" s="1"/>
      <c r="D996" s="1"/>
      <c r="I996" s="2"/>
      <c r="M996" s="1"/>
    </row>
    <row r="997" spans="2:13" ht="16.5" customHeight="1">
      <c r="B997" s="1"/>
      <c r="C997" s="1"/>
      <c r="D997" s="1"/>
      <c r="I997" s="2"/>
      <c r="M997" s="1"/>
    </row>
    <row r="998" spans="2:13" ht="16.5" customHeight="1">
      <c r="B998" s="1"/>
      <c r="C998" s="1"/>
      <c r="D998" s="1"/>
      <c r="I998" s="2"/>
      <c r="M998" s="1"/>
    </row>
    <row r="999" spans="2:13" ht="16.5" customHeight="1">
      <c r="B999" s="1"/>
      <c r="C999" s="1"/>
      <c r="D999" s="1"/>
      <c r="I999" s="2"/>
      <c r="M999" s="1"/>
    </row>
    <row r="1000" spans="2:13" ht="16.5" customHeight="1">
      <c r="B1000" s="1"/>
      <c r="C1000" s="1"/>
      <c r="D1000" s="1"/>
      <c r="I1000" s="2"/>
      <c r="M1000" s="1"/>
    </row>
  </sheetData>
  <mergeCells count="5">
    <mergeCell ref="B31:F31"/>
    <mergeCell ref="B32:F32"/>
    <mergeCell ref="B28:F28"/>
    <mergeCell ref="B29:F29"/>
    <mergeCell ref="B30:F30"/>
  </mergeCells>
  <phoneticPr fontId="10" type="noConversion"/>
  <hyperlinks>
    <hyperlink r:id="rIdProductLink1" ref="G4"/>
    <hyperlink r:id="rIdProductLink2" ref="G5"/>
    <hyperlink r:id="rIdProductLink3" ref="G6"/>
    <hyperlink r:id="rIdProductLink4" ref="G7"/>
    <hyperlink r:id="rIdProductLink5" ref="G8"/>
    <hyperlink r:id="rIdProductLink6" ref="G9"/>
    <hyperlink r:id="rIdProductLink7" ref="G10"/>
    <hyperlink r:id="rIdProductLink8" ref="G11"/>
    <hyperlink r:id="rIdProductLink9" ref="G12"/>
    <hyperlink r:id="rIdProductLink10" ref="G13"/>
    <hyperlink r:id="rIdProductLink11" ref="G14"/>
    <hyperlink r:id="rIdProductLink12" ref="G15"/>
    <hyperlink r:id="rIdProductLink13" ref="G16"/>
    <hyperlink r:id="rIdProductLink14" ref="G17"/>
    <hyperlink r:id="rIdProductLink15" ref="G18"/>
    <hyperlink r:id="rIdProductLink16" ref="G19"/>
    <hyperlink r:id="rIdProductLink17" ref="G20"/>
    <hyperlink r:id="rIdProductLink18" ref="G21"/>
    <hyperlink r:id="rIdProductLink19" ref="G22"/>
    <hyperlink r:id="rIdProductLink20" ref="G23"/>
    <hyperlink r:id="rIdProductLink21" ref="G24"/>
    <hyperlink r:id="rIdProductLink22" ref="G25"/>
    <hyperlink r:id="rIdProductLink23" ref="G26"/>
    <hyperlink r:id="rIdProductLink24" ref="G27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2026-09-15T09:18:24Z</dcterms:modified>
</cp:coreProperties>
</file>