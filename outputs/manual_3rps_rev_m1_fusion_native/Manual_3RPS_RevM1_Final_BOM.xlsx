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ce5a69c93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01289a4c2a04139"/>
    <x:sheet xmlns:r="http://schemas.openxmlformats.org/officeDocument/2006/relationships" name="BOM" sheetId="2" r:id="Rc5ad2445a2a54328"/>
    <x:sheet xmlns:r="http://schemas.openxmlformats.org/officeDocument/2006/relationships" name="CAD Mapping" sheetId="3" r:id="R76da8a2dea6c4f21"/>
    <x:sheet xmlns:r="http://schemas.openxmlformats.org/officeDocument/2006/relationships" name="Custom Parts" sheetId="4" r:id="R7669b8755fda493f"/>
    <x:sheet xmlns:r="http://schemas.openxmlformats.org/officeDocument/2006/relationships" name="Verification" sheetId="5" r:id="R7da60419cf824e69"/>
    <x:sheet xmlns:r="http://schemas.openxmlformats.org/officeDocument/2006/relationships" name="Sources" sheetId="6" r:id="Rd0de8533020748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.000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63238"/>
      <x:name val="Carlito"/>
    </x:font>
    <x:font>
      <x:b/>
      <x:sz val="11"/>
      <x:color rgb="FF263238"/>
      <x:name val="Carlito"/>
    </x:font>
    <x:font>
      <x:b/>
      <x:sz val="11"/>
      <x:color rgb="FFB3261E"/>
      <x:name val="Carlito"/>
    </x:font>
    <x:font>
      <x:b/>
      <x:sz val="11"/>
      <x:color rgb="FF2E7D32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color rgb="FF263238"/>
      <x:name val="Carlito"/>
    </x:font>
    <x:font>
      <x:b/>
      <x:sz val="9"/>
      <x:color rgb="FF263238"/>
      <x:name val="Carlito"/>
    </x:font>
    <x:font>
      <x:b/>
      <x:sz val="9"/>
      <x:color rgb="FF3568A8"/>
      <x:name val="Carlito"/>
    </x:font>
    <x:font>
      <x:b/>
      <x:sz val="9"/>
      <x:color rgb="FF2E7D32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63238"/>
      </x:patternFill>
    </x:fill>
    <x:fill>
      <x:patternFill patternType="solid">
        <x:fgColor rgb="FFE9F3F6"/>
      </x:patternFill>
    </x:fill>
    <x:fill>
      <x:patternFill patternType="solid">
        <x:fgColor rgb="FFF4F6F7"/>
      </x:patternFill>
    </x:fill>
    <x:fill>
      <x:patternFill patternType="solid">
        <x:fgColor rgb="FFFFF4D6"/>
      </x:patternFill>
    </x:fill>
    <x:fill>
      <x:patternFill patternType="solid">
        <x:fgColor rgb="FFEAF4EA"/>
      </x:patternFill>
    </x:fill>
    <x:fill>
      <x:patternFill patternType="solid">
        <x:fgColor rgb="FF3568A8"/>
      </x:patternFill>
    </x:fill>
    <x:fill>
      <x:patternFill patternType="solid">
        <x:fgColor rgb="FF147D92"/>
      </x:patternFill>
    </x:fill>
  </x:fills>
  <x:borders count="13">
    <x:border/>
    <x:border>
      <x:left style="thin">
        <x:color rgb="FFCFD8DC"/>
      </x:left>
      <x:top style="thin">
        <x:color rgb="FFCFD8DC"/>
      </x:top>
    </x:border>
    <x:border>
      <x:right style="thin">
        <x:color rgb="FFCFD8DC"/>
      </x:right>
      <x:top style="thin">
        <x:color rgb="FFCFD8DC"/>
      </x:top>
    </x:border>
    <x:border>
      <x:left style="thin">
        <x:color rgb="FFCFD8DC"/>
      </x:left>
    </x:border>
    <x:border>
      <x:right style="thin">
        <x:color rgb="FFCFD8DC"/>
      </x:right>
    </x:border>
    <x:border>
      <x:left style="thin">
        <x:color rgb="FFCFD8DC"/>
      </x:left>
      <x:bottom style="thin">
        <x:color rgb="FFCFD8DC"/>
      </x:bottom>
    </x:border>
    <x:border>
      <x:right style="thin">
        <x:color rgb="FFCFD8DC"/>
      </x:right>
      <x:bottom style="thin">
        <x:color rgb="FFCFD8DC"/>
      </x:bottom>
    </x:border>
    <x:border>
      <x:left style="thin">
        <x:color rgb="FFCFD8DC"/>
      </x:left>
      <x:right style="thin">
        <x:color rgb="FFCFD8DC"/>
      </x:right>
      <x:top style="thin">
        <x:color rgb="FFCFD8DC"/>
      </x:top>
      <x:bottom style="thin">
        <x:color rgb="FFCFD8DC"/>
      </x:bottom>
    </x:border>
    <x:border>
      <x:left style="thin">
        <x:color rgb="FF263238"/>
      </x:left>
      <x:top style="thin">
        <x:color rgb="FF263238"/>
      </x:top>
      <x:bottom style="thin">
        <x:color rgb="FF263238"/>
      </x:bottom>
    </x:border>
    <x:border>
      <x:top style="thin">
        <x:color rgb="FF263238"/>
      </x:top>
      <x:bottom style="thin">
        <x:color rgb="FF263238"/>
      </x:bottom>
    </x:border>
    <x:border>
      <x:right style="thin">
        <x:color rgb="FF263238"/>
      </x:right>
      <x:top style="thin">
        <x:color rgb="FF263238"/>
      </x:top>
      <x:bottom style="thin">
        <x:color rgb="FF263238"/>
      </x:bottom>
    </x:border>
    <x:border>
      <x:bottom style="thin">
        <x:color rgb="FFCFD8DC"/>
      </x:bottom>
    </x:border>
    <x:border>
      <x:top style="thin">
        <x:color rgb="FFCFD8DC"/>
      </x:top>
      <x:bottom style="thin">
        <x:color rgb="FFCFD8DC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0" fillId="5" borderId="4" xfId="0" applyNumberFormat="1" applyFont="1" applyFill="1" applyBorder="1"/>
    <x:xf numFmtId="0" fontId="4" fillId="5" borderId="4" xfId="0" applyNumberFormat="1" applyFont="1" applyFill="1" applyBorder="1"/>
    <x:xf numFmtId="0" fontId="0" fillId="6" borderId="4" xfId="0" applyNumberFormat="1" applyFont="1" applyFill="1" applyBorder="1"/>
    <x:xf numFmtId="0" fontId="0" fillId="6" borderId="6" xfId="0" applyNumberFormat="1" applyFont="1" applyFill="1" applyBorder="1"/>
    <x:xf numFmtId="0" fontId="5" fillId="6" borderId="4" xfId="0" applyNumberFormat="1" applyFont="1" applyFill="1" applyBorder="1"/>
    <x:xf numFmtId="0" fontId="5" fillId="6" borderId="6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10" xfId="0" applyNumberFormat="1" applyFont="1" applyFill="1" applyBorder="1"/>
    <x:xf numFmtId="0" fontId="7" fillId="8" borderId="8" xfId="0" applyNumberFormat="1" applyFont="1" applyFill="1" applyBorder="1" applyAlignment="1">
      <x:alignment wrapText="1"/>
    </x:xf>
    <x:xf numFmtId="0" fontId="7" fillId="8" borderId="9" xfId="0" applyNumberFormat="1" applyFont="1" applyFill="1" applyBorder="1" applyAlignment="1">
      <x:alignment wrapText="1"/>
    </x:xf>
    <x:xf numFmtId="0" fontId="7" fillId="8" borderId="10" xfId="0" applyNumberFormat="1" applyFont="1" applyFill="1" applyBorder="1" applyAlignment="1">
      <x:alignment wrapText="1"/>
    </x:xf>
    <x:xf numFmtId="0" fontId="7" fillId="8" borderId="8" xfId="0" applyNumberFormat="1" applyFont="1" applyFill="1" applyBorder="1" applyAlignment="1">
      <x:alignment horizontal="center" wrapText="1"/>
    </x:xf>
    <x:xf numFmtId="0" fontId="7" fillId="8" borderId="9" xfId="0" applyNumberFormat="1" applyFont="1" applyFill="1" applyBorder="1" applyAlignment="1">
      <x:alignment horizontal="center" wrapText="1"/>
    </x:xf>
    <x:xf numFmtId="0" fontId="7" fillId="8" borderId="10" xfId="0" applyNumberFormat="1" applyFont="1" applyFill="1" applyBorder="1" applyAlignment="1">
      <x:alignment horizontal="center" wrapText="1"/>
    </x:xf>
    <x:xf numFmtId="0" fontId="7" fillId="8" borderId="8" xfId="0" applyNumberFormat="1" applyFont="1" applyFill="1" applyBorder="1" applyAlignment="1">
      <x:alignment horizontal="center" vertical="center" wrapText="1"/>
    </x:xf>
    <x:xf numFmtId="0" fontId="7" fillId="8" borderId="9" xfId="0" applyNumberFormat="1" applyFont="1" applyFill="1" applyBorder="1" applyAlignment="1">
      <x:alignment horizontal="center" vertical="center" wrapText="1"/>
    </x:xf>
    <x:xf numFmtId="0" fontId="7" fillId="8" borderId="1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1" xfId="0" applyNumberFormat="1" applyFont="1" applyFill="1" applyBorder="1"/>
    <x:xf numFmtId="0" fontId="8" fillId="0" borderId="12" xfId="0" applyNumberFormat="1" applyFont="1" applyFill="1" applyBorder="1"/>
    <x:xf numFmtId="0" fontId="8" fillId="0" borderId="11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0" borderId="11" xfId="0" applyNumberFormat="1" applyFont="1" applyFill="1" applyBorder="1" applyAlignment="1">
      <x:alignment horizontal="right" vertical="top" wrapText="1"/>
    </x:xf>
    <x:xf numFmtId="0" fontId="8" fillId="0" borderId="12" xfId="0" applyNumberFormat="1" applyFont="1" applyFill="1" applyBorder="1" applyAlignment="1">
      <x:alignment horizontal="right" vertical="top" wrapText="1"/>
    </x:xf>
    <x:xf numFmtId="200" fontId="8" fillId="0" borderId="11" xfId="0" applyNumberFormat="1" applyFont="1" applyFill="1" applyBorder="1" applyAlignment="1">
      <x:alignment horizontal="right" vertical="top" wrapText="1"/>
    </x:xf>
    <x:xf numFmtId="200" fontId="8" fillId="0" borderId="12" xfId="0" applyNumberFormat="1" applyFont="1" applyFill="1" applyBorder="1" applyAlignment="1">
      <x:alignment horizontal="right" vertical="top" wrapText="1"/>
    </x:xf>
    <x:xf numFmtId="0" fontId="8" fillId="6" borderId="11" xfId="0" applyNumberFormat="1" applyFont="1" applyFill="1" applyBorder="1" applyAlignment="1">
      <x:alignment vertical="top" wrapText="1"/>
    </x:xf>
    <x:xf numFmtId="0" fontId="9" fillId="6" borderId="11" xfId="0" applyNumberFormat="1" applyFont="1" applyFill="1" applyBorder="1" applyAlignment="1">
      <x:alignment vertical="top" wrapText="1"/>
    </x:xf>
    <x:xf numFmtId="0" fontId="10" fillId="0" borderId="11" xfId="0" applyNumberFormat="1" applyFont="1" applyFill="1" applyBorder="1" applyAlignment="1">
      <x:alignment vertical="top" wrapText="1"/>
    </x:xf>
    <x:xf numFmtId="0" fontId="8" fillId="6" borderId="12" xfId="0" applyNumberFormat="1" applyFont="1" applyFill="1" applyBorder="1" applyAlignment="1">
      <x:alignment vertical="top" wrapText="1"/>
    </x:xf>
    <x:xf numFmtId="0" fontId="9" fillId="6" borderId="12" xfId="0" applyNumberFormat="1" applyFont="1" applyFill="1" applyBorder="1" applyAlignment="1">
      <x:alignment vertical="top" wrapText="1"/>
    </x:xf>
    <x:xf numFmtId="0" fontId="10" fillId="0" borderId="12" xfId="0" applyNumberFormat="1" applyFont="1" applyFill="1" applyBorder="1" applyAlignment="1">
      <x:alignment vertical="top" wrapText="1"/>
    </x:xf>
    <x:xf numFmtId="0" fontId="8" fillId="5" borderId="12" xfId="0" applyNumberFormat="1" applyFont="1" applyFill="1" applyBorder="1" applyAlignment="1">
      <x:alignment vertical="top" wrapText="1"/>
    </x:xf>
    <x:xf numFmtId="0" fontId="9" fillId="5" borderId="12" xfId="0" applyNumberFormat="1" applyFont="1" applyFill="1" applyBorder="1" applyAlignment="1">
      <x:alignment vertical="top" wrapText="1"/>
    </x:xf>
    <x:xf numFmtId="0" fontId="8" fillId="0" borderId="11" xfId="0" applyNumberFormat="1" applyFont="1" applyFill="1" applyBorder="1" applyAlignment="1">
      <x:alignment horizontal="center" vertical="top" wrapText="1"/>
    </x:xf>
    <x:xf numFmtId="0" fontId="8" fillId="0" borderId="12" xfId="0" applyNumberFormat="1" applyFont="1" applyFill="1" applyBorder="1" applyAlignment="1">
      <x:alignment horizontal="center" vertical="top" wrapText="1"/>
    </x:xf>
    <x:xf numFmtId="0" fontId="11" fillId="6" borderId="11" xfId="0" applyNumberFormat="1" applyFont="1" applyFill="1" applyBorder="1" applyAlignment="1">
      <x:alignment vertical="top" wrapText="1"/>
    </x:xf>
    <x:xf numFmtId="0" fontId="11" fillId="6" borderId="12" xfId="0" applyNumberFormat="1" applyFont="1" applyFill="1" applyBorder="1" applyAlignment="1">
      <x:alignment vertical="top" wrapText="1"/>
    </x:xf>
    <x:xf numFmtId="0" fontId="11" fillId="6" borderId="11" xfId="0" applyNumberFormat="1" applyFont="1" applyFill="1" applyBorder="1" applyAlignment="1">
      <x:alignment horizontal="center" vertical="top" wrapText="1"/>
    </x:xf>
    <x:xf numFmtId="0" fontId="11" fillId="6" borderId="12" xfId="0" applyNumberFormat="1" applyFont="1" applyFill="1" applyBorder="1" applyAlignment="1">
      <x:alignment horizontal="center" vertical="top" wrapText="1"/>
    </x:xf>
    <x:xf numFmtId="0" fontId="8" fillId="5" borderId="11" xfId="0" applyNumberFormat="1" applyFont="1" applyFill="1" applyBorder="1" applyAlignment="1">
      <x:alignment vertical="top" wrapText="1"/>
    </x:xf>
    <x:xf numFmtId="0" fontId="8" fillId="6" borderId="11" xfId="0" applyNumberFormat="1" applyFont="1" applyFill="1" applyBorder="1" applyAlignment="1">
      <x:alignment horizontal="center" vertical="top" wrapText="1"/>
    </x:xf>
    <x:xf numFmtId="0" fontId="8" fillId="6" borderId="12" xfId="0" applyNumberFormat="1" applyFont="1" applyFill="1" applyBorder="1" applyAlignment="1">
      <x:alignment horizontal="center" vertical="top" wrapText="1"/>
    </x:xf>
    <x:xf numFmtId="0" fontId="3" fillId="4" borderId="7" xfId="0" applyNumberFormat="1" applyFont="1" applyFill="1" applyBorder="1"/>
    <x:xf numFmtId="202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5460432013408b" /><Relationship Type="http://schemas.openxmlformats.org/officeDocument/2006/relationships/theme" Target="/xl/theme/theme1.xml" Id="R9244b1ab84174c73" /><Relationship Type="http://schemas.openxmlformats.org/officeDocument/2006/relationships/sharedStrings" Target="/xl/sharedStrings.xml" Id="R59293eb43aa84d0c" /><Relationship Type="http://schemas.openxmlformats.org/officeDocument/2006/relationships/worksheet" Target="/xl/worksheets/sheet1.xml" Id="R801289a4c2a04139" /><Relationship Type="http://schemas.openxmlformats.org/officeDocument/2006/relationships/worksheet" Target="/xl/worksheets/sheet2.xml" Id="Rc5ad2445a2a54328" /><Relationship Type="http://schemas.openxmlformats.org/officeDocument/2006/relationships/worksheet" Target="/xl/worksheets/sheet3.xml" Id="R76da8a2dea6c4f21" /><Relationship Type="http://schemas.openxmlformats.org/officeDocument/2006/relationships/worksheet" Target="/xl/worksheets/sheet4.xml" Id="R7669b8755fda493f" /><Relationship Type="http://schemas.openxmlformats.org/officeDocument/2006/relationships/worksheet" Target="/xl/worksheets/sheet5.xml" Id="R7da60419cf824e69" /><Relationship Type="http://schemas.openxmlformats.org/officeDocument/2006/relationships/worksheet" Target="/xl/worksheets/sheet6.xml" Id="Rd0de853302074866" /></Relationships>
</file>

<file path=xl/tables/table1.xml><?xml version="1.0" encoding="utf-8"?>
<x:table xmlns:x="http://schemas.openxmlformats.org/spreadsheetml/2006/main" id="1" name="ManualM1BomTable" displayName="ManualM1BomTable" ref="A5:S33" headerRowCount="1" totalsRowCount="0" totalsRowShown="0">
  <x:tableColumns count="19">
    <x:tableColumn id="1" name="Line"/>
    <x:tableColumn id="2" name="Group"/>
    <x:tableColumn id="3" name="Category"/>
    <x:tableColumn id="4" name="Item"/>
    <x:tableColumn id="5" name="Exact specification"/>
    <x:tableColumn id="6" name="Supplier"/>
    <x:tableColumn id="7" name="Supplier code"/>
    <x:tableColumn id="8" name="Used qty"/>
    <x:tableColumn id="9" name="Order qty"/>
    <x:tableColumn id="10" name="Order unit"/>
    <x:tableColumn id="11" name="Known unit KRW"/>
    <x:tableColumn id="12" name="Budget unit KRW"/>
    <x:tableColumn id="13" name="Known extended"/>
    <x:tableColumn id="14" name="Budget extended"/>
    <x:tableColumn id="15" name="Status"/>
    <x:tableColumn id="16" name="Preorder condition"/>
    <x:tableColumn id="17" name="Product URL"/>
    <x:tableColumn id="18" name="Price basis"/>
    <x:tableColumn id="19" name="Dimension bas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nualM1CadMapTable" displayName="ManualM1CadMapTable" ref="A5:L33" headerRowCount="1" totalsRowCount="0" totalsRowShown="0">
  <x:tableColumns count="12">
    <x:tableColumn id="1" name="Line"/>
    <x:tableColumn id="2" name="Item"/>
    <x:tableColumn id="3" name="CAD regex pattern(s)"/>
    <x:tableColumn id="4" name="Physical used"/>
    <x:tableColumn id="5" name="Expected CAD"/>
    <x:tableColumn id="6" name="Factor"/>
    <x:tableColumn id="7" name="Proxy"/>
    <x:tableColumn id="8" name="Pass 1"/>
    <x:tableColumn id="9" name="Pass 2"/>
    <x:tableColumn id="10" name="Pass 3"/>
    <x:tableColumn id="11" name="Result"/>
    <x:tableColumn id="12" name="Matched component nam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nualM1CustomTable" displayName="ManualM1CustomTable" ref="A5:K15" headerRowCount="1" totalsRowCount="0" totalsRowShown="0">
  <x:tableColumns count="11">
    <x:tableColumn id="1" name="Line"/>
    <x:tableColumn id="2" name="Item"/>
    <x:tableColumn id="3" name="Exact specification"/>
    <x:tableColumn id="4" name="Material"/>
    <x:tableColumn id="5" name="Used"/>
    <x:tableColumn id="6" name="Order"/>
    <x:tableColumn id="7" name="Unit"/>
    <x:tableColumn id="8" name="Budget unit"/>
    <x:tableColumn id="9" name="Budget extended"/>
    <x:tableColumn id="10" name="Status"/>
    <x:tableColumn id="11" name="Quote/inspection condi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nualM1SourceTable" displayName="ManualM1SourceTable" ref="A5:F13" headerRowCount="1" totalsRowCount="0" totalsRowShown="0">
  <x:tableColumns count="6">
    <x:tableColumn id="1" name="Part/source"/>
    <x:tableColumn id="2" name="Source type"/>
    <x:tableColumn id="3" name="Saved evidence"/>
    <x:tableColumn id="4" name="Used for"/>
    <x:tableColumn id="5" name="Role"/>
    <x:tableColumn id="6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8e4a8b314146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fa063c37804e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9a61fd03384e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675f220c35d4e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18" hidden="0" customWidth="1"/>
    <x:col min="4" max="4" width="24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3" t="str">
        <x:v>Manual 3-RPS Rev M1 | Final BOM and CAD Verification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Manual leveling/lifting module only. Powered actuators, batteries, controllers, sensors, diodes and fuses are excluded. Adjustment requires an independently supported, unloaded upper frame.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Budget cap (KRW)</x:v>
      </x:c>
      <x:c r="B4" s="16" t="n">
        <x:v>4000000</x:v>
      </x:c>
      <x:c r="D4" s="10" t="str">
        <x:v>Native CAD components</x:v>
      </x:c>
      <x:c r="E4" s="11" t="n">
        <x:v>129</x:v>
      </x:c>
    </x:row>
    <x:row r="5">
      <x:c r="A5" s="12" t="str">
        <x:v>Known-price subtotal</x:v>
      </x:c>
      <x:c r="B5" s="17" t="n">
        <x:f>SUM('BOM'!$M$6:$M$33)</x:f>
        <x:v>320845</x:v>
      </x:c>
      <x:c r="D5" s="12" t="str">
        <x:v>BOM rows</x:v>
      </x:c>
      <x:c r="E5" s="13" t="n">
        <x:v>28</x:v>
      </x:c>
    </x:row>
    <x:row r="6">
      <x:c r="A6" s="12" t="str">
        <x:v>Budgetary total</x:v>
      </x:c>
      <x:c r="B6" s="17" t="n">
        <x:f>SUM('BOM'!$N$6:$N$33)</x:f>
        <x:v>2257845</x:v>
      </x:c>
      <x:c r="D6" s="12" t="str">
        <x:v>Fusion interference</x:v>
      </x:c>
      <x:c r="E6" s="23" t="str">
        <x:v>PASS (0 / 0 / 0)</x:v>
      </x:c>
    </x:row>
    <x:row r="7">
      <x:c r="A7" s="12" t="str">
        <x:v>Remaining to cap</x:v>
      </x:c>
      <x:c r="B7" s="17" t="n">
        <x:f>B4-B6</x:f>
        <x:v>1742155</x:v>
      </x:c>
      <x:c r="D7" s="12" t="str">
        <x:v>Fusion sections</x:v>
      </x:c>
      <x:c r="E7" s="23" t="str">
        <x:v>3 PASS</x:v>
      </x:c>
    </x:row>
    <x:row r="8">
      <x:c r="A8" s="12" t="str">
        <x:v>Quote/option rows</x:v>
      </x:c>
      <x:c r="B8" s="18" t="n">
        <x:f>COUNTBLANK('BOM'!$K$6:$K$33)</x:f>
        <x:v>13</x:v>
      </x:c>
      <x:c r="D8" s="12" t="str">
        <x:v>Independent STEP</x:v>
      </x:c>
      <x:c r="E8" s="23" t="str">
        <x:v>PASS</x:v>
      </x:c>
    </x:row>
    <x:row r="9">
      <x:c r="A9" s="12" t="str">
        <x:v>Order release</x:v>
      </x:c>
      <x:c r="B9" s="20" t="str">
        <x:f>IF(B8&gt;0,"HOLD - QUOTES REQUIRED","READY")</x:f>
        <x:v>HOLD - QUOTES REQUIRED</x:v>
      </x:c>
      <x:c r="D9" s="12" t="str">
        <x:v>BOM-CAD passes</x:v>
      </x:c>
      <x:c r="E9" s="23" t="str">
        <x:v>PASS (3 + repeat)</x:v>
      </x:c>
    </x:row>
    <x:row r="10">
      <x:c r="A10" s="14" t="str">
        <x:v>Design status</x:v>
      </x:c>
      <x:c r="B10" s="15" t="str">
        <x:v>DETAILED REVIEW COMPLETE; ORDER HOLD</x:v>
      </x:c>
      <x:c r="D10" s="14" t="str">
        <x:v>CAD coverage</x:v>
      </x:c>
      <x:c r="E10" s="24" t="str">
        <x:v>129/129</x:v>
      </x:c>
    </x:row>
    <x:row r="12">
      <x:c r="A12" s="26" t="str">
        <x:v>Order-release hold points</x:v>
      </x:c>
      <x:c r="B12" s="26"/>
      <x:c r="C12" s="26"/>
      <x:c r="D12" s="26"/>
      <x:c r="E12" s="26"/>
      <x:c r="F12" s="26"/>
      <x:c r="G12" s="26"/>
      <x:c r="H12" s="26"/>
    </x:row>
    <x:row r="13">
      <x:c r="A13" s="28" t="str">
        <x:v>1</x:v>
      </x:c>
      <x:c r="B13" s="28" t="str">
        <x:v>BJ775-08040-SUS</x:v>
      </x:c>
      <x:c r="C13" s="28" t="str">
        <x:v>Exact code, 40 mm grip and delivered Korean quote</x:v>
      </x:c>
      <x:c r="D13" s="31" t="str">
        <x:v>OPEN</x:v>
      </x:c>
      <x:c r="E13" t="str"/>
      <x:c r="F13" t="str"/>
      <x:c r="G13" t="str"/>
      <x:c r="H13" t="str"/>
    </x:row>
    <x:row r="14">
      <x:c r="A14" s="28" t="str">
        <x:v>2</x:v>
      </x:c>
      <x:c r="B14" s="28" t="str">
        <x:v>OD32/OD25 tube stock</x:v>
      </x:c>
      <x:c r="C14" s="28" t="str">
        <x:v>Receive and measure before final JFM housing/shaft machining</x:v>
      </x:c>
      <x:c r="D14" s="31" t="str">
        <x:v>OPEN</x:v>
      </x:c>
      <x:c r="E14" t="str"/>
      <x:c r="F14" t="str"/>
      <x:c r="G14" t="str"/>
      <x:c r="H14" t="str"/>
    </x:row>
    <x:row r="15">
      <x:c r="A15" s="28" t="str">
        <x:v>3</x:v>
      </x:c>
      <x:c r="B15" s="28" t="str">
        <x:v>Pivot pin sets</x:v>
      </x:c>
      <x:c r="C15" s="28" t="str">
        <x:v>Supplier drawings must keep all threads outside bearing surfaces</x:v>
      </x:c>
      <x:c r="D15" s="31" t="str">
        <x:v>OPEN</x:v>
      </x:c>
      <x:c r="E15" t="str"/>
      <x:c r="F15" t="str"/>
      <x:c r="G15" t="str"/>
      <x:c r="H15" t="str"/>
    </x:row>
    <x:row r="16">
      <x:c r="A16" s="28" t="str">
        <x:v>4</x:v>
      </x:c>
      <x:c r="B16" s="28" t="str">
        <x:v>DIN439 M10 thin nuts</x:v>
      </x:c>
      <x:c r="C16" s="28" t="str">
        <x:v>17 AF x 5 mm exact envelope; no DIN936 substitution</x:v>
      </x:c>
      <x:c r="D16" s="31" t="str">
        <x:v>OPEN</x:v>
      </x:c>
      <x:c r="E16" t="str"/>
      <x:c r="F16" t="str"/>
      <x:c r="G16" t="str"/>
      <x:c r="H16" t="str"/>
    </x:row>
    <x:row r="17">
      <x:c r="A17" s="28" t="str">
        <x:v>5</x:v>
      </x:c>
      <x:c r="B17" s="28" t="str">
        <x:v>A1 trial build</x:v>
      </x:c>
      <x:c r="C17" s="28" t="str">
        <x:v>Dry-build one support before releasing the remaining custom sets</x:v>
      </x:c>
      <x:c r="D17" s="31" t="str">
        <x:v>OPEN</x:v>
      </x:c>
      <x:c r="E17" t="str"/>
      <x:c r="F17" t="str"/>
      <x:c r="G17" t="str"/>
      <x:c r="H17" t="str"/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1" hidden="0" customWidth="1"/>
    <x:col min="3" max="3" width="18" hidden="0" customWidth="1"/>
    <x:col min="4" max="4" width="29" hidden="0" customWidth="1"/>
    <x:col min="5" max="5" width="56" hidden="0" customWidth="1"/>
    <x:col min="6" max="6" width="24" hidden="0" customWidth="1"/>
    <x:col min="7" max="7" width="28" hidden="0" customWidth="1"/>
    <x:col min="8" max="8" width="10" hidden="0" customWidth="1"/>
    <x:col min="9" max="9" width="10" hidden="0" customWidth="1"/>
    <x:col min="10" max="10" width="14" hidden="0" customWidth="1"/>
    <x:col min="11" max="11" width="14" hidden="0" customWidth="1"/>
    <x:col min="12" max="12" width="15" hidden="0" customWidth="1"/>
    <x:col min="13" max="13" width="15" hidden="0" customWidth="1"/>
    <x:col min="14" max="14" width="16" hidden="0" customWidth="1"/>
    <x:col min="15" max="15" width="29" hidden="0" customWidth="1"/>
    <x:col min="16" max="16" width="52" hidden="0" customWidth="1"/>
    <x:col min="17" max="17" width="44" hidden="0" customWidth="1"/>
    <x:col min="18" max="18" width="42" hidden="0" customWidth="1"/>
    <x:col min="19" max="19" width="48" hidden="0" customWidth="1"/>
  </x:cols>
  <x:sheetData>
    <x:row r="1" ht="32" customHeight="1">
      <x:c r="A1" s="3" t="str">
        <x:v>Manual 3-RPS Rev M1 | Procurement BOM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4" customHeight="1">
      <x:c r="A2" s="7" t="str">
        <x:v>Known unit prices are recorded separately from budget allowances. Budget allowance is not a supplier quote. Use Status and Preorder condition before adding an item to a cart.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5" ht="30" customHeight="1">
      <x:c r="A5" s="43" t="str">
        <x:v>Line</x:v>
      </x:c>
      <x:c r="B5" s="44" t="str">
        <x:v>Group</x:v>
      </x:c>
      <x:c r="C5" s="44" t="str">
        <x:v>Category</x:v>
      </x:c>
      <x:c r="D5" s="44" t="str">
        <x:v>Item</x:v>
      </x:c>
      <x:c r="E5" s="44" t="str">
        <x:v>Exact specification</x:v>
      </x:c>
      <x:c r="F5" s="44" t="str">
        <x:v>Supplier</x:v>
      </x:c>
      <x:c r="G5" s="44" t="str">
        <x:v>Supplier code</x:v>
      </x:c>
      <x:c r="H5" s="44" t="str">
        <x:v>Used qty</x:v>
      </x:c>
      <x:c r="I5" s="44" t="str">
        <x:v>Order qty</x:v>
      </x:c>
      <x:c r="J5" s="44" t="str">
        <x:v>Order unit</x:v>
      </x:c>
      <x:c r="K5" s="44" t="str">
        <x:v>Known unit KRW</x:v>
      </x:c>
      <x:c r="L5" s="44" t="str">
        <x:v>Budget unit KRW</x:v>
      </x:c>
      <x:c r="M5" s="44" t="str">
        <x:v>Known extended</x:v>
      </x:c>
      <x:c r="N5" s="44" t="str">
        <x:v>Budget extended</x:v>
      </x:c>
      <x:c r="O5" s="44" t="str">
        <x:v>Status</x:v>
      </x:c>
      <x:c r="P5" s="44" t="str">
        <x:v>Preorder condition</x:v>
      </x:c>
      <x:c r="Q5" s="44" t="str">
        <x:v>Product URL</x:v>
      </x:c>
      <x:c r="R5" s="44" t="str">
        <x:v>Price basis</x:v>
      </x:c>
      <x:c r="S5" s="45" t="str">
        <x:v>Dimension basis</x:v>
      </x:c>
    </x:row>
    <x:row r="6">
      <x:c r="A6" s="59" t="str">
        <x:v>S01</x:v>
      </x:c>
      <x:c r="B6" s="51" t="str">
        <x:v>NAVI</x:v>
      </x:c>
      <x:c r="C6" s="51" t="str">
        <x:v>Lower frame</x:v>
      </x:c>
      <x:c r="D6" s="51" t="str">
        <x:v>DNF4040 aluminum profile, 700 mm</x:v>
      </x:c>
      <x:c r="E6" s="51" t="str">
        <x:v>40 x 40, 700 mm cut, slot 8.3 +/-0.3, center bore 6.8/M8 family</x:v>
      </x:c>
      <x:c r="F6" s="51" t="str">
        <x:v>NAVIMRO</x:v>
      </x:c>
      <x:c r="G6" s="51" t="str">
        <x:v>K92787708</x:v>
      </x:c>
      <x:c r="H6" s="53" t="n">
        <x:v>2</x:v>
      </x:c>
      <x:c r="I6" s="53" t="n">
        <x:v>2</x:v>
      </x:c>
      <x:c r="J6" s="53" t="str">
        <x:v>EA</x:v>
      </x:c>
      <x:c r="K6" s="55" t="n">
        <x:v>21989</x:v>
      </x:c>
      <x:c r="L6" s="55" t="n">
        <x:v>21989</x:v>
      </x:c>
      <x:c r="M6" s="55" t="n">
        <x:f>IF(K6="","",K6*I6)</x:f>
        <x:v>43978</x:v>
      </x:c>
      <x:c r="N6" s="55" t="n">
        <x:f>L6*I6</x:f>
        <x:v>43978</x:v>
      </x:c>
      <x:c r="O6" s="58" t="str">
        <x:v>READY_TO_CART</x:v>
      </x:c>
      <x:c r="P6" s="51" t="str">
        <x:v>Confirm straight cut and no end tapping</x:v>
      </x:c>
      <x:c r="Q6" s="51" t="str">
        <x:v>https://www.navimro.com/p/K92787708/</x:v>
      </x:c>
      <x:c r="R6" s="51" t="str">
        <x:v>2026-09-01 VAT-included screen price</x:v>
      </x:c>
      <x:c r="S6" s="51" t="str">
        <x:v>NAVIMRO DNF4040 detail image; received profile to be checked before machining</x:v>
      </x:c>
    </x:row>
    <x:row r="7">
      <x:c r="A7" s="62" t="str">
        <x:v>S02</x:v>
      </x:c>
      <x:c r="B7" s="52" t="str">
        <x:v>NAVI</x:v>
      </x:c>
      <x:c r="C7" s="52" t="str">
        <x:v>Lower frame</x:v>
      </x:c>
      <x:c r="D7" s="52" t="str">
        <x:v>DNF4040 aluminum profile, 620 mm</x:v>
      </x:c>
      <x:c r="E7" s="52" t="str">
        <x:v>40 x 40, 620 mm cut, slot 8.3 +/-0.3, center bore 6.8/M8 family</x:v>
      </x:c>
      <x:c r="F7" s="52" t="str">
        <x:v>NAVIMRO</x:v>
      </x:c>
      <x:c r="G7" s="52" t="str">
        <x:v>K92787705</x:v>
      </x:c>
      <x:c r="H7" s="54" t="n">
        <x:v>4</x:v>
      </x:c>
      <x:c r="I7" s="54" t="n">
        <x:v>4</x:v>
      </x:c>
      <x:c r="J7" s="54" t="str">
        <x:v>EA</x:v>
      </x:c>
      <x:c r="K7" s="56" t="n">
        <x:v>19789</x:v>
      </x:c>
      <x:c r="L7" s="56" t="n">
        <x:v>19789</x:v>
      </x:c>
      <x:c r="M7" s="56" t="n">
        <x:f>IF(K7="","",K7*I7)</x:f>
        <x:v>79156</x:v>
      </x:c>
      <x:c r="N7" s="56" t="n">
        <x:f>L7*I7</x:f>
        <x:v>79156</x:v>
      </x:c>
      <x:c r="O7" s="61" t="str">
        <x:v>READY_TO_CART</x:v>
      </x:c>
      <x:c r="P7" s="52" t="str">
        <x:v>Order-made/nonreturnable; reconfirm 620 mm cut</x:v>
      </x:c>
      <x:c r="Q7" s="52" t="str">
        <x:v>https://www.navimro.com/p/K92787705/</x:v>
      </x:c>
      <x:c r="R7" s="52" t="str">
        <x:v>2026-09-01 VAT-included screen price</x:v>
      </x:c>
      <x:c r="S7" s="52" t="str">
        <x:v>NAVIMRO DNF4040 detail image</x:v>
      </x:c>
    </x:row>
    <x:row r="8">
      <x:c r="A8" s="62" t="str">
        <x:v>S03</x:v>
      </x:c>
      <x:c r="B8" s="52" t="str">
        <x:v>NAVI</x:v>
      </x:c>
      <x:c r="C8" s="52" t="str">
        <x:v>Upper frame</x:v>
      </x:c>
      <x:c r="D8" s="52" t="str">
        <x:v>DNF3030-6 aluminum profile, 700 mm</x:v>
      </x:c>
      <x:c r="E8" s="52" t="str">
        <x:v>30 x 30, 700 mm cut, slot 6.3 +0.2/0, center bore 6</x:v>
      </x:c>
      <x:c r="F8" s="52" t="str">
        <x:v>NAVIMRO</x:v>
      </x:c>
      <x:c r="G8" s="52" t="str">
        <x:v>K42296106</x:v>
      </x:c>
      <x:c r="H8" s="54" t="n">
        <x:v>2</x:v>
      </x:c>
      <x:c r="I8" s="54" t="n">
        <x:v>2</x:v>
      </x:c>
      <x:c r="J8" s="54" t="str">
        <x:v>EA</x:v>
      </x:c>
      <x:c r="K8" s="56" t="n">
        <x:v>7689</x:v>
      </x:c>
      <x:c r="L8" s="56" t="n">
        <x:v>7689</x:v>
      </x:c>
      <x:c r="M8" s="56" t="n">
        <x:f>IF(K8="","",K8*I8)</x:f>
        <x:v>15378</x:v>
      </x:c>
      <x:c r="N8" s="56" t="n">
        <x:f>L8*I8</x:f>
        <x:v>15378</x:v>
      </x:c>
      <x:c r="O8" s="61" t="str">
        <x:v>READY_TO_CART</x:v>
      </x:c>
      <x:c r="P8" s="52" t="str">
        <x:v>Confirm collect freight and 700 mm cut</x:v>
      </x:c>
      <x:c r="Q8" s="52" t="str">
        <x:v>https://www.navimro.com/p/K42296106/</x:v>
      </x:c>
      <x:c r="R8" s="52" t="str">
        <x:v>2026-09-01 VAT-included screen price</x:v>
      </x:c>
      <x:c r="S8" s="52" t="str">
        <x:v>NAVIMRO DNF3030 detail image</x:v>
      </x:c>
    </x:row>
    <x:row r="9">
      <x:c r="A9" s="62" t="str">
        <x:v>S04</x:v>
      </x:c>
      <x:c r="B9" s="52" t="str">
        <x:v>NAVI</x:v>
      </x:c>
      <x:c r="C9" s="52" t="str">
        <x:v>Upper frame</x:v>
      </x:c>
      <x:c r="D9" s="52" t="str">
        <x:v>DNF3030-6 aluminum profile, 640 mm</x:v>
      </x:c>
      <x:c r="E9" s="52" t="str">
        <x:v>30 x 30, 640 mm cut, slot 6.3 +0.2/0, center bore 6</x:v>
      </x:c>
      <x:c r="F9" s="52" t="str">
        <x:v>NAVIMRO</x:v>
      </x:c>
      <x:c r="G9" s="52" t="str">
        <x:v>K42296071</x:v>
      </x:c>
      <x:c r="H9" s="54" t="n">
        <x:v>4</x:v>
      </x:c>
      <x:c r="I9" s="54" t="n">
        <x:v>4</x:v>
      </x:c>
      <x:c r="J9" s="54" t="str">
        <x:v>EA</x:v>
      </x:c>
      <x:c r="K9" s="56" t="n">
        <x:v>6589</x:v>
      </x:c>
      <x:c r="L9" s="56" t="n">
        <x:v>6589</x:v>
      </x:c>
      <x:c r="M9" s="56" t="n">
        <x:f>IF(K9="","",K9*I9)</x:f>
        <x:v>26356</x:v>
      </x:c>
      <x:c r="N9" s="56" t="n">
        <x:f>L9*I9</x:f>
        <x:v>26356</x:v>
      </x:c>
      <x:c r="O9" s="61" t="str">
        <x:v>READY_TO_CART</x:v>
      </x:c>
      <x:c r="P9" s="52" t="str">
        <x:v>Confirm collect freight and 640 mm cut</x:v>
      </x:c>
      <x:c r="Q9" s="52" t="str">
        <x:v>https://www.navimro.com/p/K42296071/</x:v>
      </x:c>
      <x:c r="R9" s="52" t="str">
        <x:v>2026-09-01 VAT-included screen price</x:v>
      </x:c>
      <x:c r="S9" s="52" t="str">
        <x:v>NAVIMRO DNF3030 detail image</x:v>
      </x:c>
    </x:row>
    <x:row r="10">
      <x:c r="A10" s="62" t="str">
        <x:v>S05</x:v>
      </x:c>
      <x:c r="B10" s="52" t="str">
        <x:v>NAVI</x:v>
      </x:c>
      <x:c r="C10" s="52" t="str">
        <x:v>Profile bracket</x:v>
      </x:c>
      <x:c r="D10" s="52" t="str">
        <x:v>4035 right-angle bracket</x:v>
      </x:c>
      <x:c r="E10" s="52" t="str">
        <x:v>40 x 40 x 35, nominal t6, two 9 x 18 slots</x:v>
      </x:c>
      <x:c r="F10" s="52" t="str">
        <x:v>NAVIMRO</x:v>
      </x:c>
      <x:c r="G10" s="52" t="str">
        <x:v>K92782553</x:v>
      </x:c>
      <x:c r="H10" s="54" t="n">
        <x:v>8</x:v>
      </x:c>
      <x:c r="I10" s="54" t="n">
        <x:v>8</x:v>
      </x:c>
      <x:c r="J10" s="54" t="str">
        <x:v>EA</x:v>
      </x:c>
      <x:c r="K10" s="56" t="n">
        <x:v>913</x:v>
      </x:c>
      <x:c r="L10" s="56" t="n">
        <x:v>913</x:v>
      </x:c>
      <x:c r="M10" s="56" t="n">
        <x:f>IF(K10="","",K10*I10)</x:f>
        <x:v>7304</x:v>
      </x:c>
      <x:c r="N10" s="56" t="n">
        <x:f>L10*I10</x:f>
        <x:v>7304</x:v>
      </x:c>
      <x:c r="O10" s="61" t="str">
        <x:v>READY_TO_CART</x:v>
      </x:c>
      <x:c r="P10" s="52" t="str">
        <x:v>Bolts and slot nuts ordered separately</x:v>
      </x:c>
      <x:c r="Q10" s="52" t="str">
        <x:v>https://www.navimro.com/p/K92782553/</x:v>
      </x:c>
      <x:c r="R10" s="52" t="str">
        <x:v>2026-09-01 VAT-included screen price</x:v>
      </x:c>
      <x:c r="S10" s="52" t="str">
        <x:v>NAVIMRO 4035 detail images</x:v>
      </x:c>
    </x:row>
    <x:row r="11">
      <x:c r="A11" s="62" t="str">
        <x:v>S06</x:v>
      </x:c>
      <x:c r="B11" s="52" t="str">
        <x:v>NAVI</x:v>
      </x:c>
      <x:c r="C11" s="52" t="str">
        <x:v>Profile bracket</x:v>
      </x:c>
      <x:c r="D11" s="52" t="str">
        <x:v>DCB3025 right-angle bracket</x:v>
      </x:c>
      <x:c r="E11" s="52" t="str">
        <x:v>30 x 30 x 25, two diameter-7 mounting holes</x:v>
      </x:c>
      <x:c r="F11" s="52" t="str">
        <x:v>NAVIMRO</x:v>
      </x:c>
      <x:c r="G11" s="52" t="str">
        <x:v>K56842696</x:v>
      </x:c>
      <x:c r="H11" s="54" t="n">
        <x:v>8</x:v>
      </x:c>
      <x:c r="I11" s="54" t="n">
        <x:v>8</x:v>
      </x:c>
      <x:c r="J11" s="54" t="str">
        <x:v>EA</x:v>
      </x:c>
      <x:c r="K11" s="56" t="n">
        <x:v>660</x:v>
      </x:c>
      <x:c r="L11" s="56" t="n">
        <x:v>660</x:v>
      </x:c>
      <x:c r="M11" s="56" t="n">
        <x:f>IF(K11="","",K11*I11)</x:f>
        <x:v>5280</x:v>
      </x:c>
      <x:c r="N11" s="56" t="n">
        <x:f>L11*I11</x:f>
        <x:v>5280</x:v>
      </x:c>
      <x:c r="O11" s="61" t="str">
        <x:v>READY_TO_CART</x:v>
      </x:c>
      <x:c r="P11" s="52" t="str">
        <x:v>Bolts and slot nuts ordered separately</x:v>
      </x:c>
      <x:c r="Q11" s="52" t="str">
        <x:v>https://www.navimro.com/p/K56842696/</x:v>
      </x:c>
      <x:c r="R11" s="52" t="str">
        <x:v>2026-09-01 VAT-included screen price</x:v>
      </x:c>
      <x:c r="S11" s="52" t="str">
        <x:v>NAVIMRO DCB3025 detail images</x:v>
      </x:c>
    </x:row>
    <x:row r="12">
      <x:c r="A12" s="62" t="str">
        <x:v>C01</x:v>
      </x:c>
      <x:c r="B12" s="52" t="str">
        <x:v>MACHINE</x:v>
      </x:c>
      <x:c r="C12" s="52" t="str">
        <x:v>Custom adapter</x:v>
      </x:c>
      <x:c r="D12" s="52" t="str">
        <x:v>Lower local adapter</x:v>
      </x:c>
      <x:c r="E12" s="52" t="str">
        <x:v>120 x 80 x 8; two diameter-9 through holes at 96 pitch; two M8 x 1.25 tapped holes at 40 pitch</x:v>
      </x:c>
      <x:c r="F12" s="52" t="str">
        <x:v>Machining quote</x:v>
      </x:c>
      <x:c r="G12" s="52" t="str">
        <x:v>M1-C01</x:v>
      </x:c>
      <x:c r="H12" s="54" t="n">
        <x:v>3</x:v>
      </x:c>
      <x:c r="I12" s="54" t="n">
        <x:v>3</x:v>
      </x:c>
      <x:c r="J12" s="54" t="str">
        <x:v>EA</x:v>
      </x:c>
      <x:c r="K12" s="56"/>
      <x:c r="L12" s="56" t="n">
        <x:v>30000</x:v>
      </x:c>
      <x:c r="M12" s="56" t="str">
        <x:f>IF(K12="","",K12*I12)</x:f>
      </x:c>
      <x:c r="N12" s="56" t="n">
        <x:f>L12*I12</x:f>
        <x:v>90000</x:v>
      </x:c>
      <x:c r="O12" s="64" t="str">
        <x:v>READY_TO_QUOTE</x:v>
      </x:c>
      <x:c r="P12" s="52" t="str">
        <x:v>Tap after diameter-6.8 drilling; deburr all edges</x:v>
      </x:c>
      <x:c r="Q12" s="52" t="str">
        <x:v>https://www.skb-steel.com/product/detail.html?product_no=235</x:v>
      </x:c>
      <x:c r="R12" s="52" t="str">
        <x:v>Budget allowance only; drawing quotation required</x:v>
      </x:c>
      <x:c r="S12" s="52" t="str">
        <x:v>Fusion Rev M1 native CAD and custom-part dimension table</x:v>
      </x:c>
    </x:row>
    <x:row r="13">
      <x:c r="A13" s="62" t="str">
        <x:v>C02</x:v>
      </x:c>
      <x:c r="B13" s="52" t="str">
        <x:v>MACHINE</x:v>
      </x:c>
      <x:c r="C13" s="52" t="str">
        <x:v>Custom clevis</x:v>
      </x:c>
      <x:c r="D13" s="52" t="str">
        <x:v>Lower one-piece clevis</x:v>
      </x:c>
      <x:c r="E13" s="52" t="str">
        <x:v>Base 60 x 50 x 8; clear gap 34; ears t6; outside width 46; pivot diameter 8.2; pivot center 28 above base top</x:v>
      </x:c>
      <x:c r="F13" s="52" t="str">
        <x:v>Machining quote</x:v>
      </x:c>
      <x:c r="G13" s="52" t="str">
        <x:v>M1-C02</x:v>
      </x:c>
      <x:c r="H13" s="54" t="n">
        <x:v>3</x:v>
      </x:c>
      <x:c r="I13" s="54" t="n">
        <x:v>3</x:v>
      </x:c>
      <x:c r="J13" s="54" t="str">
        <x:v>EA</x:v>
      </x:c>
      <x:c r="K13" s="56"/>
      <x:c r="L13" s="56" t="n">
        <x:v>120000</x:v>
      </x:c>
      <x:c r="M13" s="56" t="str">
        <x:f>IF(K13="","",K13*I13)</x:f>
      </x:c>
      <x:c r="N13" s="56" t="n">
        <x:f>L13*I13</x:f>
        <x:v>360000</x:v>
      </x:c>
      <x:c r="O13" s="64" t="str">
        <x:v>READY_TO_QUOTE</x:v>
      </x:c>
      <x:c r="P13" s="52" t="str">
        <x:v>Machine from one billet; no welding; maintain coaxial pivot bores</x:v>
      </x:c>
      <x:c r="Q13" s="52" t="str">
        <x:v>https://www.skb-steel.com/product/detail.html?product_no=235</x:v>
      </x:c>
      <x:c r="R13" s="52" t="str">
        <x:v>Budget allowance only; 3-axis machining quotation required</x:v>
      </x:c>
      <x:c r="S13" s="52" t="str">
        <x:v>Fusion Rev M1 native CAD</x:v>
      </x:c>
    </x:row>
    <x:row r="14">
      <x:c r="A14" s="62" t="str">
        <x:v>C03</x:v>
      </x:c>
      <x:c r="B14" s="52" t="str">
        <x:v>MACHINE</x:v>
      </x:c>
      <x:c r="C14" s="52" t="str">
        <x:v>Custom clevis</x:v>
      </x:c>
      <x:c r="D14" s="52" t="str">
        <x:v>Upper one-piece clevis</x:v>
      </x:c>
      <x:c r="E14" s="52" t="str">
        <x:v>Base 100 x 60 x 8; mounting pitch 84; clear gap 20; ears t6; outside width 32; pivot diameter 10.2</x:v>
      </x:c>
      <x:c r="F14" s="52" t="str">
        <x:v>Machining quote</x:v>
      </x:c>
      <x:c r="G14" s="52" t="str">
        <x:v>M1-C03</x:v>
      </x:c>
      <x:c r="H14" s="54" t="n">
        <x:v>3</x:v>
      </x:c>
      <x:c r="I14" s="54" t="n">
        <x:v>3</x:v>
      </x:c>
      <x:c r="J14" s="54" t="str">
        <x:v>EA</x:v>
      </x:c>
      <x:c r="K14" s="56"/>
      <x:c r="L14" s="56" t="n">
        <x:v>120000</x:v>
      </x:c>
      <x:c r="M14" s="56" t="str">
        <x:f>IF(K14="","",K14*I14)</x:f>
      </x:c>
      <x:c r="N14" s="56" t="n">
        <x:f>L14*I14</x:f>
        <x:v>360000</x:v>
      </x:c>
      <x:c r="O14" s="64" t="str">
        <x:v>READY_TO_QUOTE</x:v>
      </x:c>
      <x:c r="P14" s="52" t="str">
        <x:v>Machine from one billet; no welding; maintain coaxial pivot bores</x:v>
      </x:c>
      <x:c r="Q14" s="52" t="str">
        <x:v>https://www.skb-steel.com/product/detail.html?product_no=235</x:v>
      </x:c>
      <x:c r="R14" s="52" t="str">
        <x:v>Budget allowance only; 3-axis machining quotation required</x:v>
      </x:c>
      <x:c r="S14" s="52" t="str">
        <x:v>Fusion Rev M1 native CAD and THK PHS10 envelope</x:v>
      </x:c>
    </x:row>
    <x:row r="15">
      <x:c r="A15" s="62" t="str">
        <x:v>C04</x:v>
      </x:c>
      <x:c r="B15" s="52" t="str">
        <x:v>MACHINE</x:v>
      </x:c>
      <x:c r="C15" s="52" t="str">
        <x:v>Manual strut</x:v>
      </x:c>
      <x:c r="D15" s="52" t="str">
        <x:v>Finished outer tube</x:v>
      </x:c>
      <x:c r="E15" s="52" t="str">
        <x:v>OD32 x ID28 x L160; upper 21 mm housing reamed to diameter 28.000-28.021; lower pivot bore diameter8.2; coarse-pin bore diameter8 +0.1/0</x:v>
      </x:c>
      <x:c r="F15" s="52" t="str">
        <x:v>Tube stock plus machining quote</x:v>
      </x:c>
      <x:c r="G15" s="52" t="str">
        <x:v>M1-C04</x:v>
      </x:c>
      <x:c r="H15" s="54" t="n">
        <x:v>3</x:v>
      </x:c>
      <x:c r="I15" s="54" t="n">
        <x:v>4</x:v>
      </x:c>
      <x:c r="J15" s="54" t="str">
        <x:v>EA</x:v>
      </x:c>
      <x:c r="K15" s="56"/>
      <x:c r="L15" s="56" t="n">
        <x:v>50000</x:v>
      </x:c>
      <x:c r="M15" s="56" t="str">
        <x:f>IF(K15="","",K15*I15)</x:f>
      </x:c>
      <x:c r="N15" s="56" t="n">
        <x:f>L15*I15</x:f>
        <x:v>200000</x:v>
      </x:c>
      <x:c r="O15" s="64" t="str">
        <x:v>READY_TO_QUOTE</x:v>
      </x:c>
      <x:c r="P15" s="52" t="str">
        <x:v>Machine bushing housing after tube receipt; inspect ID before reaming</x:v>
      </x:c>
      <x:c r="Q15" s="52" t="str"/>
      <x:c r="R15" s="52" t="str">
        <x:v>Budget allowance; stock and machining quotation required</x:v>
      </x:c>
      <x:c r="S15" s="52" t="str">
        <x:v>Fusion Rev M1 CAD plus igus JFM housing tolerance</x:v>
      </x:c>
    </x:row>
    <x:row r="16">
      <x:c r="A16" s="62" t="str">
        <x:v>C05</x:v>
      </x:c>
      <x:c r="B16" s="52" t="str">
        <x:v>MACHINE</x:v>
      </x:c>
      <x:c r="C16" s="52" t="str">
        <x:v>Manual strut</x:v>
      </x:c>
      <x:c r="D16" s="52" t="str">
        <x:v>Finished inner tube</x:v>
      </x:c>
      <x:c r="E16" s="52" t="str">
        <x:v>OD25 shaft tolerance 24.948-25.000 x ID21 x L150; six diameter8 +0.1/0 coarse holes at 15 pitch; one diameter-4.2 retainer hole</x:v>
      </x:c>
      <x:c r="F16" s="52" t="str">
        <x:v>Tube stock plus machining quote</x:v>
      </x:c>
      <x:c r="G16" s="52" t="str">
        <x:v>M1-C05</x:v>
      </x:c>
      <x:c r="H16" s="54" t="n">
        <x:v>3</x:v>
      </x:c>
      <x:c r="I16" s="54" t="n">
        <x:v>4</x:v>
      </x:c>
      <x:c r="J16" s="54" t="str">
        <x:v>EA</x:v>
      </x:c>
      <x:c r="K16" s="56"/>
      <x:c r="L16" s="56" t="n">
        <x:v>35000</x:v>
      </x:c>
      <x:c r="M16" s="56" t="str">
        <x:f>IF(K16="","",K16*I16)</x:f>
      </x:c>
      <x:c r="N16" s="56" t="n">
        <x:f>L16*I16</x:f>
        <x:v>140000</x:v>
      </x:c>
      <x:c r="O16" s="64" t="str">
        <x:v>READY_TO_QUOTE</x:v>
      </x:c>
      <x:c r="P16" s="52" t="str">
        <x:v>Verify actual OD is within 24.948-25.000 before ordering batch machining</x:v>
      </x:c>
      <x:c r="Q16" s="52" t="str"/>
      <x:c r="R16" s="52" t="str">
        <x:v>Budget allowance; stock and machining quotation required</x:v>
      </x:c>
      <x:c r="S16" s="52" t="str">
        <x:v>Fusion Rev M1 CAD plus igus JFM shaft tolerance</x:v>
      </x:c>
    </x:row>
    <x:row r="17">
      <x:c r="A17" s="62" t="str">
        <x:v>C06</x:v>
      </x:c>
      <x:c r="B17" s="52" t="str">
        <x:v>MACHINE</x:v>
      </x:c>
      <x:c r="C17" s="52" t="str">
        <x:v>Manual strut</x:v>
      </x:c>
      <x:c r="D17" s="52" t="str">
        <x:v>Lower guide ring</x:v>
      </x:c>
      <x:c r="E17" s="52" t="str">
        <x:v>OD27.6 x ID25.10 x L12, split installation permitted</x:v>
      </x:c>
      <x:c r="F17" s="52" t="str">
        <x:v>Machining quote</x:v>
      </x:c>
      <x:c r="G17" s="52" t="str">
        <x:v>M1-C06</x:v>
      </x:c>
      <x:c r="H17" s="54" t="n">
        <x:v>3</x:v>
      </x:c>
      <x:c r="I17" s="54" t="n">
        <x:v>4</x:v>
      </x:c>
      <x:c r="J17" s="54" t="str">
        <x:v>EA</x:v>
      </x:c>
      <x:c r="K17" s="56"/>
      <x:c r="L17" s="56" t="n">
        <x:v>15000</x:v>
      </x:c>
      <x:c r="M17" s="56" t="str">
        <x:f>IF(K17="","",K17*I17)</x:f>
      </x:c>
      <x:c r="N17" s="56" t="n">
        <x:f>L17*I17</x:f>
        <x:v>60000</x:v>
      </x:c>
      <x:c r="O17" s="64" t="str">
        <x:v>READY_TO_QUOTE</x:v>
      </x:c>
      <x:c r="P17" s="52" t="str">
        <x:v>Deburr and dry-fit with actual inner/outer tubes</x:v>
      </x:c>
      <x:c r="Q17" s="52" t="str"/>
      <x:c r="R17" s="52" t="str">
        <x:v>Budget allowance only</x:v>
      </x:c>
      <x:c r="S17" s="52" t="str">
        <x:v>Fusion Rev M1 native CAD</x:v>
      </x:c>
    </x:row>
    <x:row r="18">
      <x:c r="A18" s="62" t="str">
        <x:v>C07</x:v>
      </x:c>
      <x:c r="B18" s="52" t="str">
        <x:v>MACHINE</x:v>
      </x:c>
      <x:c r="C18" s="52" t="str">
        <x:v>Manual strut</x:v>
      </x:c>
      <x:c r="D18" s="52" t="str">
        <x:v>M10 threaded insert plug</x:v>
      </x:c>
      <x:c r="E18" s="52" t="str">
        <x:v>OD20.8 x L30; axial M10 x 1.5 thread depth 22 minimum; diameter-4.2 retainer cross hole 7.5 from plug lower end (22.5 from outer end)</x:v>
      </x:c>
      <x:c r="F18" s="52" t="str">
        <x:v>Turning quote</x:v>
      </x:c>
      <x:c r="G18" s="52" t="str">
        <x:v>M1-C07</x:v>
      </x:c>
      <x:c r="H18" s="54" t="n">
        <x:v>3</x:v>
      </x:c>
      <x:c r="I18" s="54" t="n">
        <x:v>4</x:v>
      </x:c>
      <x:c r="J18" s="54" t="str">
        <x:v>EA</x:v>
      </x:c>
      <x:c r="K18" s="56"/>
      <x:c r="L18" s="56" t="n">
        <x:v>25000</x:v>
      </x:c>
      <x:c r="M18" s="56" t="str">
        <x:f>IF(K18="","",K18*I18)</x:f>
      </x:c>
      <x:c r="N18" s="56" t="n">
        <x:f>L18*I18</x:f>
        <x:v>100000</x:v>
      </x:c>
      <x:c r="O18" s="64" t="str">
        <x:v>READY_TO_QUOTE</x:v>
      </x:c>
      <x:c r="P18" s="52" t="str">
        <x:v>Cross drill plug and inner tube together after dry fit</x:v>
      </x:c>
      <x:c r="Q18" s="52" t="str"/>
      <x:c r="R18" s="52" t="str">
        <x:v>Budget allowance only</x:v>
      </x:c>
      <x:c r="S18" s="52" t="str">
        <x:v>Fusion Rev M1 native CAD</x:v>
      </x:c>
    </x:row>
    <x:row r="19">
      <x:c r="A19" s="62" t="str">
        <x:v>M01</x:v>
      </x:c>
      <x:c r="B19" s="52" t="str">
        <x:v>BEARING</x:v>
      </x:c>
      <x:c r="C19" s="52" t="str">
        <x:v>Bushing</x:v>
      </x:c>
      <x:c r="D19" s="52" t="str">
        <x:v>igus JFM-2528-21 flanged sleeve bearing</x:v>
      </x:c>
      <x:c r="E19" s="52" t="str">
        <x:v>ID25, OD28, flange OD35, L21, flange t1.5</x:v>
      </x:c>
      <x:c r="F19" s="52" t="str">
        <x:v>DeviceMart</x:v>
      </x:c>
      <x:c r="G19" s="52" t="str">
        <x:v>10896543 / JFM-2528-21</x:v>
      </x:c>
      <x:c r="H19" s="54" t="n">
        <x:v>3</x:v>
      </x:c>
      <x:c r="I19" s="54" t="n">
        <x:v>4</x:v>
      </x:c>
      <x:c r="J19" s="54" t="str">
        <x:v>EA</x:v>
      </x:c>
      <x:c r="K19" s="56" t="n">
        <x:v>1870</x:v>
      </x:c>
      <x:c r="L19" s="56" t="n">
        <x:v>1870</x:v>
      </x:c>
      <x:c r="M19" s="56" t="n">
        <x:f>IF(K19="","",K19*I19)</x:f>
        <x:v>7480</x:v>
      </x:c>
      <x:c r="N19" s="56" t="n">
        <x:f>L19*I19</x:f>
        <x:v>7480</x:v>
      </x:c>
      <x:c r="O19" s="61" t="str">
        <x:v>READY_TO_CART_AFTER_STOCK_CHECK</x:v>
      </x:c>
      <x:c r="P19" s="52" t="str">
        <x:v>Confirm four pieces and current lead time</x:v>
      </x:c>
      <x:c r="Q19" s="52" t="str">
        <x:v>https://www.devicemart.co.kr/goods/view?no=10896543</x:v>
      </x:c>
      <x:c r="R19" s="52" t="str">
        <x:v>VAT-included product page price; page stated average lead time two weeks</x:v>
      </x:c>
      <x:c r="S19" s="52" t="str">
        <x:v>igus JFM catalog and product detail image</x:v>
      </x:c>
    </x:row>
    <x:row r="20">
      <x:c r="A20" s="62" t="str">
        <x:v>M02</x:v>
      </x:c>
      <x:c r="B20" s="52" t="str">
        <x:v>BEARING</x:v>
      </x:c>
      <x:c r="C20" s="52" t="str">
        <x:v>Rod end</x:v>
      </x:c>
      <x:c r="D20" s="52" t="str">
        <x:v>THK PHS10 RH female rod end</x:v>
      </x:c>
      <x:c r="E20" s="52" t="str">
        <x:v>Bore 10 H7, OD26, ring width14, overall56, center-to-thread-end43, M10 x 1.5, thread depth21, static radial 13.2 kN</x:v>
      </x:c>
      <x:c r="F20" s="52" t="str">
        <x:v>SL System</x:v>
      </x:c>
      <x:c r="G20" s="52" t="str">
        <x:v>PHS10</x:v>
      </x:c>
      <x:c r="H20" s="54" t="n">
        <x:v>3</x:v>
      </x:c>
      <x:c r="I20" s="54" t="n">
        <x:v>4</x:v>
      </x:c>
      <x:c r="J20" s="54" t="str">
        <x:v>EA</x:v>
      </x:c>
      <x:c r="K20" s="56" t="n">
        <x:v>13290</x:v>
      </x:c>
      <x:c r="L20" s="56" t="n">
        <x:v>13290</x:v>
      </x:c>
      <x:c r="M20" s="56" t="n">
        <x:f>IF(K20="","",K20*I20)</x:f>
        <x:v>53160</x:v>
      </x:c>
      <x:c r="N20" s="56" t="n">
        <x:f>L20*I20</x:f>
        <x:v>53160</x:v>
      </x:c>
      <x:c r="O20" s="61" t="str">
        <x:v>READY_TO_CART_AFTER_MODEL_CHECK</x:v>
      </x:c>
      <x:c r="P20" s="52" t="str">
        <x:v>Order right-hand PHS10 only; do not substitute PHS10L or PHS6</x:v>
      </x:c>
      <x:c r="Q20" s="52" t="str">
        <x:v>https://myslmall.com/category/PHS/146/</x:v>
      </x:c>
      <x:c r="R20" s="52" t="str">
        <x:v>Current indexed product page price</x:v>
      </x:c>
      <x:c r="S20" s="52" t="str">
        <x:v>THK official PHS catalog; not inferred from seller thumbnail</x:v>
      </x:c>
    </x:row>
    <x:row r="21">
      <x:c r="A21" s="62" t="str">
        <x:v>M03</x:v>
      </x:c>
      <x:c r="B21" s="52" t="str">
        <x:v>IMPORT</x:v>
      </x:c>
      <x:c r="C21" s="52" t="str">
        <x:v>Coarse lock pin</x:v>
      </x:c>
      <x:c r="D21" s="52" t="str">
        <x:v>IMAO BJ775-08040-SUS ball-lock ring pin</x:v>
      </x:c>
      <x:c r="E21" s="52" t="str">
        <x:v>Shank diameter8, maximum envelope9.4, grip L40 +0.5/0, end allowance8 +/-1, mass42 g</x:v>
      </x:c>
      <x:c r="F21" s="52" t="str">
        <x:v>IMAO/MISUMI import quotation</x:v>
      </x:c>
      <x:c r="G21" s="52" t="str">
        <x:v>BJ775-08040-SUS</x:v>
      </x:c>
      <x:c r="H21" s="54" t="n">
        <x:v>3</x:v>
      </x:c>
      <x:c r="I21" s="54" t="n">
        <x:v>3</x:v>
      </x:c>
      <x:c r="J21" s="54" t="str">
        <x:v>EA</x:v>
      </x:c>
      <x:c r="K21" s="56"/>
      <x:c r="L21" s="56" t="n">
        <x:v>100000</x:v>
      </x:c>
      <x:c r="M21" s="56" t="str">
        <x:f>IF(K21="","",K21*I21)</x:f>
      </x:c>
      <x:c r="N21" s="56" t="n">
        <x:f>L21*I21</x:f>
        <x:v>300000</x:v>
      </x:c>
      <x:c r="O21" s="64" t="str">
        <x:v>SUPPLIER_QUOTE_REQUIRED</x:v>
      </x:c>
      <x:c r="P21" s="52" t="str">
        <x:v>Do not substitute another grip length; supplier must confirm exact code</x:v>
      </x:c>
      <x:c r="Q21" s="52" t="str">
        <x:v>https://www.imao.com/catalog/en/categoryviews/?category=%24900337&amp;categorycode=%24WHSSAP%2C%24whs&amp;page=1</x:v>
      </x:c>
      <x:c r="R21" s="52" t="str">
        <x:v>Budget allowance; Korean delivered quote required</x:v>
      </x:c>
      <x:c r="S21" s="52" t="str">
        <x:v>IMAO official BJ775-SUS PDF and official CAD listing</x:v>
      </x:c>
    </x:row>
    <x:row r="22">
      <x:c r="A22" s="62" t="str">
        <x:v>F01</x:v>
      </x:c>
      <x:c r="B22" s="52" t="str">
        <x:v>NAVI</x:v>
      </x:c>
      <x:c r="C22" s="52" t="str">
        <x:v>Frame fastener</x:v>
      </x:c>
      <x:c r="D22" s="52" t="str">
        <x:v>M8 x 16 socket cap screw</x:v>
      </x:c>
      <x:c r="E22" s="52" t="str">
        <x:v>SCM435 class 10.9, full thread, pack 36</x:v>
      </x:c>
      <x:c r="F22" s="52" t="str">
        <x:v>NAVIMRO</x:v>
      </x:c>
      <x:c r="G22" s="52" t="str">
        <x:v>K53536280</x:v>
      </x:c>
      <x:c r="H22" s="54" t="n">
        <x:v>22</x:v>
      </x:c>
      <x:c r="I22" s="54" t="n">
        <x:v>1</x:v>
      </x:c>
      <x:c r="J22" s="54" t="str">
        <x:v>PK_36</x:v>
      </x:c>
      <x:c r="K22" s="56" t="n">
        <x:v>7579</x:v>
      </x:c>
      <x:c r="L22" s="56" t="n">
        <x:v>7579</x:v>
      </x:c>
      <x:c r="M22" s="56" t="n">
        <x:f>IF(K22="","",K22*I22)</x:f>
        <x:v>7579</x:v>
      </x:c>
      <x:c r="N22" s="56" t="n">
        <x:f>L22*I22</x:f>
        <x:v>7579</x:v>
      </x:c>
      <x:c r="O22" s="61" t="str">
        <x:v>READY_TO_CART</x:v>
      </x:c>
      <x:c r="P22" s="52" t="str">
        <x:v>16 for 4035 brackets and 6 for lower clevises</x:v>
      </x:c>
      <x:c r="Q22" s="52" t="str">
        <x:v>https://www.navimro.com/p/K53536280/</x:v>
      </x:c>
      <x:c r="R22" s="52" t="str">
        <x:v>2026-09-01 VAT-included screen price</x:v>
      </x:c>
      <x:c r="S22" s="52" t="str">
        <x:v>Fusion positioned fastener components</x:v>
      </x:c>
    </x:row>
    <x:row r="23">
      <x:c r="A23" s="62" t="str">
        <x:v>F02</x:v>
      </x:c>
      <x:c r="B23" s="52" t="str">
        <x:v>NAVI</x:v>
      </x:c>
      <x:c r="C23" s="52" t="str">
        <x:v>Frame fastener</x:v>
      </x:c>
      <x:c r="D23" s="52" t="str">
        <x:v>M8 x 20 socket cap screw</x:v>
      </x:c>
      <x:c r="E23" s="52" t="str">
        <x:v>SCM435 class 10.9, full thread, pack 34</x:v>
      </x:c>
      <x:c r="F23" s="52" t="str">
        <x:v>NAVIMRO</x:v>
      </x:c>
      <x:c r="G23" s="52" t="str">
        <x:v>K53536553</x:v>
      </x:c>
      <x:c r="H23" s="54" t="n">
        <x:v>6</x:v>
      </x:c>
      <x:c r="I23" s="54" t="n">
        <x:v>1</x:v>
      </x:c>
      <x:c r="J23" s="54" t="str">
        <x:v>PK_34</x:v>
      </x:c>
      <x:c r="K23" s="56" t="n">
        <x:v>7359</x:v>
      </x:c>
      <x:c r="L23" s="56" t="n">
        <x:v>7359</x:v>
      </x:c>
      <x:c r="M23" s="56" t="n">
        <x:f>IF(K23="","",K23*I23)</x:f>
        <x:v>7359</x:v>
      </x:c>
      <x:c r="N23" s="56" t="n">
        <x:f>L23*I23</x:f>
        <x:v>7359</x:v>
      </x:c>
      <x:c r="O23" s="61" t="str">
        <x:v>READY_TO_CART</x:v>
      </x:c>
      <x:c r="P23" s="52" t="str">
        <x:v>For three lower adapters, two each</x:v>
      </x:c>
      <x:c r="Q23" s="52" t="str">
        <x:v>https://www.navimro.com/p/K53536553/</x:v>
      </x:c>
      <x:c r="R23" s="52" t="str">
        <x:v>2026-09-01 VAT-included screen price</x:v>
      </x:c>
      <x:c r="S23" s="52" t="str">
        <x:v>Fusion positioned fastener components</x:v>
      </x:c>
    </x:row>
    <x:row r="24">
      <x:c r="A24" s="62" t="str">
        <x:v>F03</x:v>
      </x:c>
      <x:c r="B24" s="52" t="str">
        <x:v>NAVI</x:v>
      </x:c>
      <x:c r="C24" s="52" t="str">
        <x:v>Frame fastener</x:v>
      </x:c>
      <x:c r="D24" s="52" t="str">
        <x:v>M6 x 15 socket cap screw</x:v>
      </x:c>
      <x:c r="E24" s="52" t="str">
        <x:v>SCM435 class 10.9, full thread, pack 57</x:v>
      </x:c>
      <x:c r="F24" s="52" t="str">
        <x:v>NAVIMRO</x:v>
      </x:c>
      <x:c r="G24" s="52" t="str">
        <x:v>K53536246</x:v>
      </x:c>
      <x:c r="H24" s="54" t="n">
        <x:v>22</x:v>
      </x:c>
      <x:c r="I24" s="54" t="n">
        <x:v>1</x:v>
      </x:c>
      <x:c r="J24" s="54" t="str">
        <x:v>PK_57</x:v>
      </x:c>
      <x:c r="K24" s="56" t="n">
        <x:v>6039</x:v>
      </x:c>
      <x:c r="L24" s="56" t="n">
        <x:v>6039</x:v>
      </x:c>
      <x:c r="M24" s="56" t="n">
        <x:f>IF(K24="","",K24*I24)</x:f>
        <x:v>6039</x:v>
      </x:c>
      <x:c r="N24" s="56" t="n">
        <x:f>L24*I24</x:f>
        <x:v>6039</x:v>
      </x:c>
      <x:c r="O24" s="61" t="str">
        <x:v>READY_TO_CART</x:v>
      </x:c>
      <x:c r="P24" s="52" t="str">
        <x:v>16 for DCB3025 brackets and 6 for upper clevises</x:v>
      </x:c>
      <x:c r="Q24" s="52" t="str">
        <x:v>https://www.navimro.com/p/K53536246/</x:v>
      </x:c>
      <x:c r="R24" s="52" t="str">
        <x:v>2026-09-01 VAT-included screen price</x:v>
      </x:c>
      <x:c r="S24" s="52" t="str">
        <x:v>Fusion positioned fastener components</x:v>
      </x:c>
    </x:row>
    <x:row r="25">
      <x:c r="A25" s="62" t="str">
        <x:v>F04</x:v>
      </x:c>
      <x:c r="B25" s="52" t="str">
        <x:v>NAVI</x:v>
      </x:c>
      <x:c r="C25" s="52" t="str">
        <x:v>Profile nut</x:v>
      </x:c>
      <x:c r="D25" s="52" t="str">
        <x:v>SP408 M8 spring slot nut</x:v>
      </x:c>
      <x:c r="E25" s="52" t="str">
        <x:v>40-series M8 slot nut, pack 100</x:v>
      </x:c>
      <x:c r="F25" s="52" t="str">
        <x:v>NAVIMRO</x:v>
      </x:c>
      <x:c r="G25" s="52" t="str">
        <x:v>K14671419</x:v>
      </x:c>
      <x:c r="H25" s="54" t="n">
        <x:v>22</x:v>
      </x:c>
      <x:c r="I25" s="54" t="n">
        <x:v>1</x:v>
      </x:c>
      <x:c r="J25" s="54" t="str">
        <x:v>PK_100</x:v>
      </x:c>
      <x:c r="K25" s="56" t="n">
        <x:v>25289</x:v>
      </x:c>
      <x:c r="L25" s="56" t="n">
        <x:v>25289</x:v>
      </x:c>
      <x:c r="M25" s="56" t="n">
        <x:f>IF(K25="","",K25*I25)</x:f>
        <x:v>25289</x:v>
      </x:c>
      <x:c r="N25" s="56" t="n">
        <x:f>L25*I25</x:f>
        <x:v>25289</x:v>
      </x:c>
      <x:c r="O25" s="61" t="str">
        <x:v>READY_TO_CART</x:v>
      </x:c>
      <x:c r="P25" s="52" t="str">
        <x:v>Used with F01 bracket bolts and F02 adapter bolts</x:v>
      </x:c>
      <x:c r="Q25" s="52" t="str">
        <x:v>https://www.navimro.com/p/K14671419/</x:v>
      </x:c>
      <x:c r="R25" s="52" t="str">
        <x:v>2026-09-01 VAT-included screen price</x:v>
      </x:c>
      <x:c r="S25" s="52" t="str">
        <x:v>NAVIMRO spring-nut detail image</x:v>
      </x:c>
    </x:row>
    <x:row r="26">
      <x:c r="A26" s="62" t="str">
        <x:v>F05</x:v>
      </x:c>
      <x:c r="B26" s="52" t="str">
        <x:v>NAVI</x:v>
      </x:c>
      <x:c r="C26" s="52" t="str">
        <x:v>Profile nut</x:v>
      </x:c>
      <x:c r="D26" s="52" t="str">
        <x:v>SP306 M6 spring slot nut</x:v>
      </x:c>
      <x:c r="E26" s="52" t="str">
        <x:v>30-series M6 slot nut, pack 100</x:v>
      </x:c>
      <x:c r="F26" s="52" t="str">
        <x:v>NAVIMRO</x:v>
      </x:c>
      <x:c r="G26" s="52" t="str">
        <x:v>K14671215</x:v>
      </x:c>
      <x:c r="H26" s="54" t="n">
        <x:v>22</x:v>
      </x:c>
      <x:c r="I26" s="54" t="n">
        <x:v>1</x:v>
      </x:c>
      <x:c r="J26" s="54" t="str">
        <x:v>PK_100</x:v>
      </x:c>
      <x:c r="K26" s="56" t="n">
        <x:v>25289</x:v>
      </x:c>
      <x:c r="L26" s="56" t="n">
        <x:v>25289</x:v>
      </x:c>
      <x:c r="M26" s="56" t="n">
        <x:f>IF(K26="","",K26*I26)</x:f>
        <x:v>25289</x:v>
      </x:c>
      <x:c r="N26" s="56" t="n">
        <x:f>L26*I26</x:f>
        <x:v>25289</x:v>
      </x:c>
      <x:c r="O26" s="61" t="str">
        <x:v>READY_TO_CART</x:v>
      </x:c>
      <x:c r="P26" s="52" t="str">
        <x:v>Used with F03 bolts</x:v>
      </x:c>
      <x:c r="Q26" s="52" t="str">
        <x:v>https://www.navimro.com/p/K14671215/</x:v>
      </x:c>
      <x:c r="R26" s="52" t="str">
        <x:v>2026-09-01 VAT-included screen price</x:v>
      </x:c>
      <x:c r="S26" s="52" t="str">
        <x:v>NAVIMRO spring-nut detail image</x:v>
      </x:c>
    </x:row>
    <x:row r="27">
      <x:c r="A27" s="62" t="str">
        <x:v>F06</x:v>
      </x:c>
      <x:c r="B27" s="52" t="str">
        <x:v>NAVI</x:v>
      </x:c>
      <x:c r="C27" s="52" t="str">
        <x:v>Fine adjuster</x:v>
      </x:c>
      <x:c r="D27" s="52" t="str">
        <x:v>M10 x 1.5 threaded rod, 285 mm</x:v>
      </x:c>
      <x:c r="E27" s="52" t="str">
        <x:v>Fully threaded; cut three pieces to L53 and deburr</x:v>
      </x:c>
      <x:c r="F27" s="52" t="str">
        <x:v>NAVIMRO</x:v>
      </x:c>
      <x:c r="G27" s="52" t="str">
        <x:v>K54170031</x:v>
      </x:c>
      <x:c r="H27" s="54" t="n">
        <x:v>3</x:v>
      </x:c>
      <x:c r="I27" s="54" t="n">
        <x:v>1</x:v>
      </x:c>
      <x:c r="J27" s="54" t="str">
        <x:v>EA_285MM</x:v>
      </x:c>
      <x:c r="K27" s="56" t="n">
        <x:v>1309</x:v>
      </x:c>
      <x:c r="L27" s="56" t="n">
        <x:v>1309</x:v>
      </x:c>
      <x:c r="M27" s="56" t="n">
        <x:f>IF(K27="","",K27*I27)</x:f>
        <x:v>1309</x:v>
      </x:c>
      <x:c r="N27" s="56" t="n">
        <x:f>L27*I27</x:f>
        <x:v>1309</x:v>
      </x:c>
      <x:c r="O27" s="61" t="str">
        <x:v>READY_TO_CART_AND_CUT</x:v>
      </x:c>
      <x:c r="P27" s="52" t="str">
        <x:v>Cut only after confirming PHS10 right-hand thread</x:v>
      </x:c>
      <x:c r="Q27" s="52" t="str">
        <x:v>https://www.navimro.com/p/K54170031/</x:v>
      </x:c>
      <x:c r="R27" s="52" t="str">
        <x:v>2026-09-01 VAT-included screen price</x:v>
      </x:c>
      <x:c r="S27" s="52" t="str">
        <x:v>Fusion M10 x 1.5 stud components</x:v>
      </x:c>
    </x:row>
    <x:row r="28">
      <x:c r="A28" s="62" t="str">
        <x:v>F07</x:v>
      </x:c>
      <x:c r="B28" s="52" t="str">
        <x:v>SPECIAL</x:v>
      </x:c>
      <x:c r="C28" s="52" t="str">
        <x:v>Fine adjuster</x:v>
      </x:c>
      <x:c r="D28" s="52" t="str">
        <x:v>DIN 439 M10 thin jam nut</x:v>
      </x:c>
      <x:c r="E28" s="52" t="str">
        <x:v>M10 x 1.5, across flats 17, thickness 5, right-hand thread</x:v>
      </x:c>
      <x:c r="F28" s="52" t="str">
        <x:v>MISUMI/KIPP equivalent quote</x:v>
      </x:c>
      <x:c r="G28" s="52" t="str">
        <x:v>DIN439-M10-17x5</x:v>
      </x:c>
      <x:c r="H28" s="54" t="n">
        <x:v>6</x:v>
      </x:c>
      <x:c r="I28" s="54" t="n">
        <x:v>10</x:v>
      </x:c>
      <x:c r="J28" s="54" t="str">
        <x:v>EA</x:v>
      </x:c>
      <x:c r="K28" s="56"/>
      <x:c r="L28" s="56" t="n">
        <x:v>1500</x:v>
      </x:c>
      <x:c r="M28" s="56" t="str">
        <x:f>IF(K28="","",K28*I28)</x:f>
      </x:c>
      <x:c r="N28" s="56" t="n">
        <x:f>L28*I28</x:f>
        <x:v>15000</x:v>
      </x:c>
      <x:c r="O28" s="64" t="str">
        <x:v>EXACT_SIZE_QUOTE_REQUIRED</x:v>
      </x:c>
      <x:c r="P28" s="52" t="str">
        <x:v>Supplier drawing must show 17 mm AF and 5 mm thickness</x:v>
      </x:c>
      <x:c r="Q28" s="52" t="str"/>
      <x:c r="R28" s="52" t="str">
        <x:v>Budget allowance; exact dimensional quote required</x:v>
      </x:c>
      <x:c r="S28" s="52" t="str">
        <x:v>Fusion thin-nut envelope; do not replace with 16 x 6 DIN936 without CAD revision</x:v>
      </x:c>
    </x:row>
    <x:row r="29">
      <x:c r="A29" s="62" t="str">
        <x:v>F08</x:v>
      </x:c>
      <x:c r="B29" s="52" t="str">
        <x:v>MACHINE</x:v>
      </x:c>
      <x:c r="C29" s="52" t="str">
        <x:v>Pivot hardware</x:v>
      </x:c>
      <x:c r="D29" s="52" t="str">
        <x:v>Lower shoulder pin and prevailing-torque locknut set</x:v>
      </x:c>
      <x:c r="E29" s="52" t="str">
        <x:v>Shoulder diameter 7.98 h9, grip 46, head diameter14 x 7; M8 threaded end and 13 AF x 6.5 locknut</x:v>
      </x:c>
      <x:c r="F29" s="52" t="str">
        <x:v>Configured shoulder bolt or turning quote</x:v>
      </x:c>
      <x:c r="G29" s="52" t="str">
        <x:v>M1-F08</x:v>
      </x:c>
      <x:c r="H29" s="54" t="n">
        <x:v>3</x:v>
      </x:c>
      <x:c r="I29" s="54" t="n">
        <x:v>4</x:v>
      </x:c>
      <x:c r="J29" s="54" t="str">
        <x:v>SET</x:v>
      </x:c>
      <x:c r="K29" s="56"/>
      <x:c r="L29" s="56" t="n">
        <x:v>30000</x:v>
      </x:c>
      <x:c r="M29" s="56" t="str">
        <x:f>IF(K29="","",K29*I29)</x:f>
      </x:c>
      <x:c r="N29" s="56" t="n">
        <x:f>L29*I29</x:f>
        <x:v>120000</x:v>
      </x:c>
      <x:c r="O29" s="64" t="str">
        <x:v>READY_TO_QUOTE</x:v>
      </x:c>
      <x:c r="P29" s="52" t="str">
        <x:v>No thread may lie inside either clevis ear or outer tube pivot bore</x:v>
      </x:c>
      <x:c r="Q29" s="52" t="str"/>
      <x:c r="R29" s="52" t="str">
        <x:v>Budget allowance; supplier drawing required</x:v>
      </x:c>
      <x:c r="S29" s="52" t="str">
        <x:v>Fusion lower clevis outside grip 46</x:v>
      </x:c>
    </x:row>
    <x:row r="30">
      <x:c r="A30" s="62" t="str">
        <x:v>F09</x:v>
      </x:c>
      <x:c r="B30" s="52" t="str">
        <x:v>MACHINE</x:v>
      </x:c>
      <x:c r="C30" s="52" t="str">
        <x:v>Pivot hardware</x:v>
      </x:c>
      <x:c r="D30" s="52" t="str">
        <x:v>Upper shoulder pin and prevailing-torque locknut set</x:v>
      </x:c>
      <x:c r="E30" s="52" t="str">
        <x:v>Shoulder diameter 9.98 h9, grip 32, head diameter16 x 5; M10 threaded end and 17 AF x 8 locknut</x:v>
      </x:c>
      <x:c r="F30" s="52" t="str">
        <x:v>Configured shoulder bolt or turning quote</x:v>
      </x:c>
      <x:c r="G30" s="52" t="str">
        <x:v>M1-F09</x:v>
      </x:c>
      <x:c r="H30" s="54" t="n">
        <x:v>3</x:v>
      </x:c>
      <x:c r="I30" s="54" t="n">
        <x:v>4</x:v>
      </x:c>
      <x:c r="J30" s="54" t="str">
        <x:v>SET</x:v>
      </x:c>
      <x:c r="K30" s="56"/>
      <x:c r="L30" s="56" t="n">
        <x:v>35000</x:v>
      </x:c>
      <x:c r="M30" s="56" t="str">
        <x:f>IF(K30="","",K30*I30)</x:f>
      </x:c>
      <x:c r="N30" s="56" t="n">
        <x:f>L30*I30</x:f>
        <x:v>140000</x:v>
      </x:c>
      <x:c r="O30" s="64" t="str">
        <x:v>READY_TO_QUOTE</x:v>
      </x:c>
      <x:c r="P30" s="52" t="str">
        <x:v>No thread may lie inside clevis ears, shims, or PHS10 bore</x:v>
      </x:c>
      <x:c r="Q30" s="52" t="str"/>
      <x:c r="R30" s="52" t="str">
        <x:v>Budget allowance; supplier drawing required</x:v>
      </x:c>
      <x:c r="S30" s="52" t="str">
        <x:v>Fusion upper clevis outside grip 32 and PHS10 bore 10 H7</x:v>
      </x:c>
    </x:row>
    <x:row r="31">
      <x:c r="A31" s="62" t="str">
        <x:v>F10</x:v>
      </x:c>
      <x:c r="B31" s="52" t="str">
        <x:v>MACHINE</x:v>
      </x:c>
      <x:c r="C31" s="52" t="str">
        <x:v>Pivot hardware</x:v>
      </x:c>
      <x:c r="D31" s="52" t="str">
        <x:v>Upper side shim</x:v>
      </x:c>
      <x:c r="E31" s="52" t="str">
        <x:v>ID10.2, OD18, thickness3</x:v>
      </x:c>
      <x:c r="F31" s="52" t="str">
        <x:v>Laser/turning quote or exact shim supplier</x:v>
      </x:c>
      <x:c r="G31" s="52" t="str">
        <x:v>M1-F10</x:v>
      </x:c>
      <x:c r="H31" s="54" t="n">
        <x:v>6</x:v>
      </x:c>
      <x:c r="I31" s="54" t="n">
        <x:v>8</x:v>
      </x:c>
      <x:c r="J31" s="54" t="str">
        <x:v>EA</x:v>
      </x:c>
      <x:c r="K31" s="56"/>
      <x:c r="L31" s="56" t="n">
        <x:v>5000</x:v>
      </x:c>
      <x:c r="M31" s="56" t="str">
        <x:f>IF(K31="","",K31*I31)</x:f>
      </x:c>
      <x:c r="N31" s="56" t="n">
        <x:f>L31*I31</x:f>
        <x:v>40000</x:v>
      </x:c>
      <x:c r="O31" s="64" t="str">
        <x:v>READY_TO_QUOTE</x:v>
      </x:c>
      <x:c r="P31" s="52" t="str">
        <x:v>Thickness tolerance +/-0.05 preferred; verify free articulation after assembly</x:v>
      </x:c>
      <x:c r="Q31" s="52" t="str"/>
      <x:c r="R31" s="52" t="str">
        <x:v>Budget allowance only</x:v>
      </x:c>
      <x:c r="S31" s="52" t="str">
        <x:v>20 mm clevis gap minus 14 mm PHS ring width</x:v>
      </x:c>
    </x:row>
    <x:row r="32">
      <x:c r="A32" s="62" t="str">
        <x:v>F11</x:v>
      </x:c>
      <x:c r="B32" s="52" t="str">
        <x:v>NAVI</x:v>
      </x:c>
      <x:c r="C32" s="52" t="str">
        <x:v>Retainer hardware</x:v>
      </x:c>
      <x:c r="D32" s="52" t="str">
        <x:v>M4 x 40 socket cap screw plus M4 nyloc nut</x:v>
      </x:c>
      <x:c r="E32" s="52" t="str">
        <x:v>Under-head length 40, modeled installed grip 32; low-load insert retention only</x:v>
      </x:c>
      <x:c r="F32" s="52" t="str">
        <x:v>NAVIMRO option selection</x:v>
      </x:c>
      <x:c r="G32" s="52" t="str">
        <x:v>SELECT-M4x40-AND-M4-NYLOC</x:v>
      </x:c>
      <x:c r="H32" s="54" t="n">
        <x:v>3</x:v>
      </x:c>
      <x:c r="I32" s="54" t="n">
        <x:v>4</x:v>
      </x:c>
      <x:c r="J32" s="54" t="str">
        <x:v>SET</x:v>
      </x:c>
      <x:c r="K32" s="56"/>
      <x:c r="L32" s="56" t="n">
        <x:v>3000</x:v>
      </x:c>
      <x:c r="M32" s="56" t="str">
        <x:f>IF(K32="","",K32*I32)</x:f>
      </x:c>
      <x:c r="N32" s="56" t="n">
        <x:f>L32*I32</x:f>
        <x:v>12000</x:v>
      </x:c>
      <x:c r="O32" s="64" t="str">
        <x:v>OPTION_SELECTION_REQUIRED</x:v>
      </x:c>
      <x:c r="P32" s="52" t="str">
        <x:v>Use nylon-insert nut; do not apply high clamp load to the aluminum tube</x:v>
      </x:c>
      <x:c r="Q32" s="52" t="str">
        <x:v>https://www.navimro.com/</x:v>
      </x:c>
      <x:c r="R32" s="52" t="str">
        <x:v>Budget allowance; exact option to be selected at checkout</x:v>
      </x:c>
      <x:c r="S32" s="52" t="str">
        <x:v>Fusion retainer component, inner tube OD25 and modeled 32 mm grip</x:v>
      </x:c>
    </x:row>
    <x:row r="33">
      <x:c r="A33" s="62" t="str">
        <x:v>F12</x:v>
      </x:c>
      <x:c r="B33" s="52" t="str">
        <x:v>NAVI</x:v>
      </x:c>
      <x:c r="C33" s="52" t="str">
        <x:v>Consumable</x:v>
      </x:c>
      <x:c r="D33" s="52" t="str">
        <x:v>LOCTITE 243 medium-strength threadlocker</x:v>
      </x:c>
      <x:c r="E33" s="52" t="str">
        <x:v>10 ml</x:v>
      </x:c>
      <x:c r="F33" s="52" t="str">
        <x:v>NAVIMRO</x:v>
      </x:c>
      <x:c r="G33" s="52" t="str">
        <x:v>K64647607</x:v>
      </x:c>
      <x:c r="H33" s="54" t="n">
        <x:v>1</x:v>
      </x:c>
      <x:c r="I33" s="54" t="n">
        <x:v>1</x:v>
      </x:c>
      <x:c r="J33" s="54" t="str">
        <x:v>EA</x:v>
      </x:c>
      <x:c r="K33" s="56" t="n">
        <x:v>9889</x:v>
      </x:c>
      <x:c r="L33" s="56" t="n">
        <x:v>9889</x:v>
      </x:c>
      <x:c r="M33" s="56" t="n">
        <x:f>IF(K33="","",K33*I33)</x:f>
        <x:v>9889</x:v>
      </x:c>
      <x:c r="N33" s="56" t="n">
        <x:f>L33*I33</x:f>
        <x:v>9889</x:v>
      </x:c>
      <x:c r="O33" s="61" t="str">
        <x:v>READY_TO_CART</x:v>
      </x:c>
      <x:c r="P33" s="52" t="str">
        <x:v>Do not lock either fine-adjuster jam-nut interface before final setting</x:v>
      </x:c>
      <x:c r="Q33" s="52" t="str">
        <x:v>https://www.navimro.com/p/K64647607/</x:v>
      </x:c>
      <x:c r="R33" s="52" t="str">
        <x:v>2026-09-01 VAT-included screen price</x:v>
      </x:c>
      <x:c r="S33" s="52" t="str">
        <x:v>Assembly process consumable; intentionally not represented as CAD component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f48e4a8b314146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9" hidden="0" customWidth="1"/>
    <x:col min="3" max="3" width="58" hidden="0" customWidth="1"/>
    <x:col min="4" max="4" width="11" hidden="0" customWidth="1"/>
    <x:col min="5" max="5" width="12" hidden="0" customWidth="1"/>
    <x:col min="6" max="6" width="8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10" hidden="0" customWidth="1"/>
    <x:col min="12" max="12" width="72" hidden="0" customWidth="1"/>
  </x:cols>
  <x:sheetData>
    <x:row r="1" ht="32" customHeight="1">
      <x:c r="A1" s="3" t="str">
        <x:v>BOM to Native Fusion Component Mapping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Each BOM row is matched to the 129 native Fusion leaf-component names. Proxy rows share a positioned fastener component because one Fusion component contains both bolt and slot-nut bodies.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5" ht="30" customHeight="1">
      <x:c r="A5" s="43" t="str">
        <x:v>Line</x:v>
      </x:c>
      <x:c r="B5" s="44" t="str">
        <x:v>Item</x:v>
      </x:c>
      <x:c r="C5" s="44" t="str">
        <x:v>CAD regex pattern(s)</x:v>
      </x:c>
      <x:c r="D5" s="44" t="str">
        <x:v>Physical used</x:v>
      </x:c>
      <x:c r="E5" s="44" t="str">
        <x:v>Expected CAD</x:v>
      </x:c>
      <x:c r="F5" s="44" t="str">
        <x:v>Factor</x:v>
      </x:c>
      <x:c r="G5" s="44" t="str">
        <x:v>Proxy</x:v>
      </x:c>
      <x:c r="H5" s="44" t="str">
        <x:v>Pass 1</x:v>
      </x:c>
      <x:c r="I5" s="44" t="str">
        <x:v>Pass 2</x:v>
      </x:c>
      <x:c r="J5" s="44" t="str">
        <x:v>Pass 3</x:v>
      </x:c>
      <x:c r="K5" s="44" t="str">
        <x:v>Result</x:v>
      </x:c>
      <x:c r="L5" s="45" t="str">
        <x:v>Matched component names</x:v>
      </x:c>
    </x:row>
    <x:row r="6">
      <x:c r="A6" s="51" t="str">
        <x:v>S01</x:v>
      </x:c>
      <x:c r="B6" s="51" t="str">
        <x:v>DNF4040 aluminum profile, 700 mm</x:v>
      </x:c>
      <x:c r="C6" s="51" t="str">
        <x:v>^LOWER_SIDE_[LR]_DNF4040_700$</x:v>
      </x:c>
      <x:c r="D6" s="65" t="n">
        <x:v>2</x:v>
      </x:c>
      <x:c r="E6" s="65" t="n">
        <x:v>2</x:v>
      </x:c>
      <x:c r="F6" s="65" t="n">
        <x:v>1</x:v>
      </x:c>
      <x:c r="G6" s="65" t="str">
        <x:v>NO</x:v>
      </x:c>
      <x:c r="H6" s="65" t="n">
        <x:v>2</x:v>
      </x:c>
      <x:c r="I6" s="65" t="n">
        <x:v>2</x:v>
      </x:c>
      <x:c r="J6" s="65" t="n">
        <x:v>2</x:v>
      </x:c>
      <x:c r="K6" s="69" t="str">
        <x:f>IF(AND(H6=E6,I6=E6,J6=E6),"PASS","CHECK")</x:f>
        <x:v>PASS</x:v>
      </x:c>
      <x:c r="L6" s="51" t="str">
        <x:v>LOWER_SIDE_L_DNF4040_700; LOWER_SIDE_R_DNF4040_700</x:v>
      </x:c>
    </x:row>
    <x:row r="7">
      <x:c r="A7" s="52" t="str">
        <x:v>S02</x:v>
      </x:c>
      <x:c r="B7" s="52" t="str">
        <x:v>DNF4040 aluminum profile, 620 mm</x:v>
      </x:c>
      <x:c r="C7" s="52" t="str">
        <x:v>^LOWER_CROSS_.*_DNF4040_620$</x:v>
      </x:c>
      <x:c r="D7" s="66" t="n">
        <x:v>4</x:v>
      </x:c>
      <x:c r="E7" s="66" t="n">
        <x:v>4</x:v>
      </x:c>
      <x:c r="F7" s="66" t="n">
        <x:v>1</x:v>
      </x:c>
      <x:c r="G7" s="66" t="str">
        <x:v>NO</x:v>
      </x:c>
      <x:c r="H7" s="66" t="n">
        <x:v>4</x:v>
      </x:c>
      <x:c r="I7" s="66" t="n">
        <x:v>4</x:v>
      </x:c>
      <x:c r="J7" s="66" t="n">
        <x:v>4</x:v>
      </x:c>
      <x:c r="K7" s="70" t="str">
        <x:f>IF(AND(H7=E7,I7=E7,J7=E7),"PASS","CHECK")</x:f>
        <x:v>PASS</x:v>
      </x:c>
      <x:c r="L7" s="52" t="str">
        <x:v>LOWER_CROSS_A1_DNF4040_620; LOWER_CROSS_A23_DNF4040_620; LOWER_CROSS_FRONT_DNF4040_620; LOWER_CROSS_REAR_DNF4040_620</x:v>
      </x:c>
    </x:row>
    <x:row r="8">
      <x:c r="A8" s="52" t="str">
        <x:v>S03</x:v>
      </x:c>
      <x:c r="B8" s="52" t="str">
        <x:v>DNF3030-6 aluminum profile, 700 mm</x:v>
      </x:c>
      <x:c r="C8" s="52" t="str">
        <x:v>^UPPER_SIDE_[LR]_DNF3030_700$</x:v>
      </x:c>
      <x:c r="D8" s="66" t="n">
        <x:v>2</x:v>
      </x:c>
      <x:c r="E8" s="66" t="n">
        <x:v>2</x:v>
      </x:c>
      <x:c r="F8" s="66" t="n">
        <x:v>1</x:v>
      </x:c>
      <x:c r="G8" s="66" t="str">
        <x:v>NO</x:v>
      </x:c>
      <x:c r="H8" s="66" t="n">
        <x:v>2</x:v>
      </x:c>
      <x:c r="I8" s="66" t="n">
        <x:v>2</x:v>
      </x:c>
      <x:c r="J8" s="66" t="n">
        <x:v>2</x:v>
      </x:c>
      <x:c r="K8" s="70" t="str">
        <x:f>IF(AND(H8=E8,I8=E8,J8=E8),"PASS","CHECK")</x:f>
        <x:v>PASS</x:v>
      </x:c>
      <x:c r="L8" s="52" t="str">
        <x:v>UPPER_SIDE_L_DNF3030_700; UPPER_SIDE_R_DNF3030_700</x:v>
      </x:c>
    </x:row>
    <x:row r="9">
      <x:c r="A9" s="52" t="str">
        <x:v>S04</x:v>
      </x:c>
      <x:c r="B9" s="52" t="str">
        <x:v>DNF3030-6 aluminum profile, 640 mm</x:v>
      </x:c>
      <x:c r="C9" s="52" t="str">
        <x:v>^UPPER_CROSS_.*_DNF3030_640$</x:v>
      </x:c>
      <x:c r="D9" s="66" t="n">
        <x:v>4</x:v>
      </x:c>
      <x:c r="E9" s="66" t="n">
        <x:v>4</x:v>
      </x:c>
      <x:c r="F9" s="66" t="n">
        <x:v>1</x:v>
      </x:c>
      <x:c r="G9" s="66" t="str">
        <x:v>NO</x:v>
      </x:c>
      <x:c r="H9" s="66" t="n">
        <x:v>4</x:v>
      </x:c>
      <x:c r="I9" s="66" t="n">
        <x:v>4</x:v>
      </x:c>
      <x:c r="J9" s="66" t="n">
        <x:v>4</x:v>
      </x:c>
      <x:c r="K9" s="70" t="str">
        <x:f>IF(AND(H9=E9,I9=E9,J9=E9),"PASS","CHECK")</x:f>
        <x:v>PASS</x:v>
      </x:c>
      <x:c r="L9" s="52" t="str">
        <x:v>UPPER_CROSS_A1_DNF3030_640; UPPER_CROSS_A23_DNF3030_640; UPPER_CROSS_FRONT_DNF3030_640; UPPER_CROSS_REAR_DNF3030_640</x:v>
      </x:c>
    </x:row>
    <x:row r="10">
      <x:c r="A10" s="52" t="str">
        <x:v>S05</x:v>
      </x:c>
      <x:c r="B10" s="52" t="str">
        <x:v>4035 right-angle bracket</x:v>
      </x:c>
      <x:c r="C10" s="52" t="str">
        <x:v>^BRACKET4035_[1-4]_[LR]$</x:v>
      </x:c>
      <x:c r="D10" s="66" t="n">
        <x:v>8</x:v>
      </x:c>
      <x:c r="E10" s="66" t="n">
        <x:v>8</x:v>
      </x:c>
      <x:c r="F10" s="66" t="n">
        <x:v>1</x:v>
      </x:c>
      <x:c r="G10" s="66" t="str">
        <x:v>NO</x:v>
      </x:c>
      <x:c r="H10" s="66" t="n">
        <x:v>8</x:v>
      </x:c>
      <x:c r="I10" s="66" t="n">
        <x:v>8</x:v>
      </x:c>
      <x:c r="J10" s="66" t="n">
        <x:v>8</x:v>
      </x:c>
      <x:c r="K10" s="70" t="str">
        <x:f>IF(AND(H10=E10,I10=E10,J10=E10),"PASS","CHECK")</x:f>
        <x:v>PASS</x:v>
      </x:c>
      <x:c r="L10" s="52" t="str">
        <x:v>BRACKET4035_1_L; BRACKET4035_1_R; BRACKET4035_2_L; BRACKET4035_2_R; BRACKET4035_3_L; BRACKET4035_3_R; BRACKET4035_4_L; BRACKET4035_4_R</x:v>
      </x:c>
    </x:row>
    <x:row r="11">
      <x:c r="A11" s="52" t="str">
        <x:v>S06</x:v>
      </x:c>
      <x:c r="B11" s="52" t="str">
        <x:v>DCB3025 right-angle bracket</x:v>
      </x:c>
      <x:c r="C11" s="52" t="str">
        <x:v>^DCB3025_[1-4]_[LR]$</x:v>
      </x:c>
      <x:c r="D11" s="66" t="n">
        <x:v>8</x:v>
      </x:c>
      <x:c r="E11" s="66" t="n">
        <x:v>8</x:v>
      </x:c>
      <x:c r="F11" s="66" t="n">
        <x:v>1</x:v>
      </x:c>
      <x:c r="G11" s="66" t="str">
        <x:v>NO</x:v>
      </x:c>
      <x:c r="H11" s="66" t="n">
        <x:v>8</x:v>
      </x:c>
      <x:c r="I11" s="66" t="n">
        <x:v>8</x:v>
      </x:c>
      <x:c r="J11" s="66" t="n">
        <x:v>8</x:v>
      </x:c>
      <x:c r="K11" s="70" t="str">
        <x:f>IF(AND(H11=E11,I11=E11,J11=E11),"PASS","CHECK")</x:f>
        <x:v>PASS</x:v>
      </x:c>
      <x:c r="L11" s="52" t="str">
        <x:v>DCB3025_1_L; DCB3025_1_R; DCB3025_2_L; DCB3025_2_R; DCB3025_3_L; DCB3025_3_R; DCB3025_4_L; DCB3025_4_R</x:v>
      </x:c>
    </x:row>
    <x:row r="12">
      <x:c r="A12" s="52" t="str">
        <x:v>C01</x:v>
      </x:c>
      <x:c r="B12" s="52" t="str">
        <x:v>Lower local adapter</x:v>
      </x:c>
      <x:c r="C12" s="52" t="str">
        <x:v>^A[1-3]_LOWER_ADAPTER_A6061_120x80x8$</x:v>
      </x:c>
      <x:c r="D12" s="66" t="n">
        <x:v>3</x:v>
      </x:c>
      <x:c r="E12" s="66" t="n">
        <x:v>3</x:v>
      </x:c>
      <x:c r="F12" s="66" t="n">
        <x:v>1</x:v>
      </x:c>
      <x:c r="G12" s="66" t="str">
        <x:v>NO</x:v>
      </x:c>
      <x:c r="H12" s="66" t="n">
        <x:v>3</x:v>
      </x:c>
      <x:c r="I12" s="66" t="n">
        <x:v>3</x:v>
      </x:c>
      <x:c r="J12" s="66" t="n">
        <x:v>3</x:v>
      </x:c>
      <x:c r="K12" s="70" t="str">
        <x:f>IF(AND(H12=E12,I12=E12,J12=E12),"PASS","CHECK")</x:f>
        <x:v>PASS</x:v>
      </x:c>
      <x:c r="L12" s="52" t="str">
        <x:v>A1_LOWER_ADAPTER_A6061_120x80x8; A2_LOWER_ADAPTER_A6061_120x80x8; A3_LOWER_ADAPTER_A6061_120x80x8</x:v>
      </x:c>
    </x:row>
    <x:row r="13">
      <x:c r="A13" s="52" t="str">
        <x:v>C02</x:v>
      </x:c>
      <x:c r="B13" s="52" t="str">
        <x:v>Lower one-piece clevis</x:v>
      </x:c>
      <x:c r="C13" s="52" t="str">
        <x:v>^A[1-3]_LOWER_ONE_PIECE_CLEVIS_A6061$</x:v>
      </x:c>
      <x:c r="D13" s="66" t="n">
        <x:v>3</x:v>
      </x:c>
      <x:c r="E13" s="66" t="n">
        <x:v>3</x:v>
      </x:c>
      <x:c r="F13" s="66" t="n">
        <x:v>1</x:v>
      </x:c>
      <x:c r="G13" s="66" t="str">
        <x:v>NO</x:v>
      </x:c>
      <x:c r="H13" s="66" t="n">
        <x:v>3</x:v>
      </x:c>
      <x:c r="I13" s="66" t="n">
        <x:v>3</x:v>
      </x:c>
      <x:c r="J13" s="66" t="n">
        <x:v>3</x:v>
      </x:c>
      <x:c r="K13" s="70" t="str">
        <x:f>IF(AND(H13=E13,I13=E13,J13=E13),"PASS","CHECK")</x:f>
        <x:v>PASS</x:v>
      </x:c>
      <x:c r="L13" s="52" t="str">
        <x:v>A1_LOWER_ONE_PIECE_CLEVIS_A6061; A2_LOWER_ONE_PIECE_CLEVIS_A6061; A3_LOWER_ONE_PIECE_CLEVIS_A6061</x:v>
      </x:c>
    </x:row>
    <x:row r="14">
      <x:c r="A14" s="52" t="str">
        <x:v>C03</x:v>
      </x:c>
      <x:c r="B14" s="52" t="str">
        <x:v>Upper one-piece clevis</x:v>
      </x:c>
      <x:c r="C14" s="52" t="str">
        <x:v>^A[1-3]_UPPER_ONE_PIECE_CLEVIS_A6061$</x:v>
      </x:c>
      <x:c r="D14" s="66" t="n">
        <x:v>3</x:v>
      </x:c>
      <x:c r="E14" s="66" t="n">
        <x:v>3</x:v>
      </x:c>
      <x:c r="F14" s="66" t="n">
        <x:v>1</x:v>
      </x:c>
      <x:c r="G14" s="66" t="str">
        <x:v>NO</x:v>
      </x:c>
      <x:c r="H14" s="66" t="n">
        <x:v>3</x:v>
      </x:c>
      <x:c r="I14" s="66" t="n">
        <x:v>3</x:v>
      </x:c>
      <x:c r="J14" s="66" t="n">
        <x:v>3</x:v>
      </x:c>
      <x:c r="K14" s="70" t="str">
        <x:f>IF(AND(H14=E14,I14=E14,J14=E14),"PASS","CHECK")</x:f>
        <x:v>PASS</x:v>
      </x:c>
      <x:c r="L14" s="52" t="str">
        <x:v>A1_UPPER_ONE_PIECE_CLEVIS_A6061; A2_UPPER_ONE_PIECE_CLEVIS_A6061; A3_UPPER_ONE_PIECE_CLEVIS_A6061</x:v>
      </x:c>
    </x:row>
    <x:row r="15">
      <x:c r="A15" s="52" t="str">
        <x:v>C04</x:v>
      </x:c>
      <x:c r="B15" s="52" t="str">
        <x:v>Finished outer tube</x:v>
      </x:c>
      <x:c r="C15" s="52" t="str">
        <x:v>^A[1-3]_OUTER_TUBE_OD32x2_L160_REAM28H7$</x:v>
      </x:c>
      <x:c r="D15" s="66" t="n">
        <x:v>3</x:v>
      </x:c>
      <x:c r="E15" s="66" t="n">
        <x:v>3</x:v>
      </x:c>
      <x:c r="F15" s="66" t="n">
        <x:v>1</x:v>
      </x:c>
      <x:c r="G15" s="66" t="str">
        <x:v>NO</x:v>
      </x:c>
      <x:c r="H15" s="66" t="n">
        <x:v>3</x:v>
      </x:c>
      <x:c r="I15" s="66" t="n">
        <x:v>3</x:v>
      </x:c>
      <x:c r="J15" s="66" t="n">
        <x:v>3</x:v>
      </x:c>
      <x:c r="K15" s="70" t="str">
        <x:f>IF(AND(H15=E15,I15=E15,J15=E15),"PASS","CHECK")</x:f>
        <x:v>PASS</x:v>
      </x:c>
      <x:c r="L15" s="52" t="str">
        <x:v>A1_OUTER_TUBE_OD32x2_L160_REAM28H7; A2_OUTER_TUBE_OD32x2_L160_REAM28H7; A3_OUTER_TUBE_OD32x2_L160_REAM28H7</x:v>
      </x:c>
    </x:row>
    <x:row r="16">
      <x:c r="A16" s="52" t="str">
        <x:v>C05</x:v>
      </x:c>
      <x:c r="B16" s="52" t="str">
        <x:v>Finished inner tube</x:v>
      </x:c>
      <x:c r="C16" s="52" t="str">
        <x:v>^A[1-3]_INNER_TUBE_OD25x2_L150_6POS$</x:v>
      </x:c>
      <x:c r="D16" s="66" t="n">
        <x:v>3</x:v>
      </x:c>
      <x:c r="E16" s="66" t="n">
        <x:v>3</x:v>
      </x:c>
      <x:c r="F16" s="66" t="n">
        <x:v>1</x:v>
      </x:c>
      <x:c r="G16" s="66" t="str">
        <x:v>NO</x:v>
      </x:c>
      <x:c r="H16" s="66" t="n">
        <x:v>3</x:v>
      </x:c>
      <x:c r="I16" s="66" t="n">
        <x:v>3</x:v>
      </x:c>
      <x:c r="J16" s="66" t="n">
        <x:v>3</x:v>
      </x:c>
      <x:c r="K16" s="70" t="str">
        <x:f>IF(AND(H16=E16,I16=E16,J16=E16),"PASS","CHECK")</x:f>
        <x:v>PASS</x:v>
      </x:c>
      <x:c r="L16" s="52" t="str">
        <x:v>A1_INNER_TUBE_OD25x2_L150_6POS; A2_INNER_TUBE_OD25x2_L150_6POS; A3_INNER_TUBE_OD25x2_L150_6POS</x:v>
      </x:c>
    </x:row>
    <x:row r="17">
      <x:c r="A17" s="52" t="str">
        <x:v>C06</x:v>
      </x:c>
      <x:c r="B17" s="52" t="str">
        <x:v>Lower guide ring</x:v>
      </x:c>
      <x:c r="C17" s="52" t="str">
        <x:v>^A[1-3]_POM_LOWER_GUIDE_RING$</x:v>
      </x:c>
      <x:c r="D17" s="66" t="n">
        <x:v>3</x:v>
      </x:c>
      <x:c r="E17" s="66" t="n">
        <x:v>3</x:v>
      </x:c>
      <x:c r="F17" s="66" t="n">
        <x:v>1</x:v>
      </x:c>
      <x:c r="G17" s="66" t="str">
        <x:v>NO</x:v>
      </x:c>
      <x:c r="H17" s="66" t="n">
        <x:v>3</x:v>
      </x:c>
      <x:c r="I17" s="66" t="n">
        <x:v>3</x:v>
      </x:c>
      <x:c r="J17" s="66" t="n">
        <x:v>3</x:v>
      </x:c>
      <x:c r="K17" s="70" t="str">
        <x:f>IF(AND(H17=E17,I17=E17,J17=E17),"PASS","CHECK")</x:f>
        <x:v>PASS</x:v>
      </x:c>
      <x:c r="L17" s="52" t="str">
        <x:v>A1_POM_LOWER_GUIDE_RING; A2_POM_LOWER_GUIDE_RING; A3_POM_LOWER_GUIDE_RING</x:v>
      </x:c>
    </x:row>
    <x:row r="18">
      <x:c r="A18" s="52" t="str">
        <x:v>C07</x:v>
      </x:c>
      <x:c r="B18" s="52" t="str">
        <x:v>M10 threaded insert plug</x:v>
      </x:c>
      <x:c r="C18" s="52" t="str">
        <x:v>^A[1-3]_A6061_M10_THREADED_PLUG$</x:v>
      </x:c>
      <x:c r="D18" s="66" t="n">
        <x:v>3</x:v>
      </x:c>
      <x:c r="E18" s="66" t="n">
        <x:v>3</x:v>
      </x:c>
      <x:c r="F18" s="66" t="n">
        <x:v>1</x:v>
      </x:c>
      <x:c r="G18" s="66" t="str">
        <x:v>NO</x:v>
      </x:c>
      <x:c r="H18" s="66" t="n">
        <x:v>3</x:v>
      </x:c>
      <x:c r="I18" s="66" t="n">
        <x:v>3</x:v>
      </x:c>
      <x:c r="J18" s="66" t="n">
        <x:v>3</x:v>
      </x:c>
      <x:c r="K18" s="70" t="str">
        <x:f>IF(AND(H18=E18,I18=E18,J18=E18),"PASS","CHECK")</x:f>
        <x:v>PASS</x:v>
      </x:c>
      <x:c r="L18" s="52" t="str">
        <x:v>A1_A6061_M10_THREADED_PLUG; A2_A6061_M10_THREADED_PLUG; A3_A6061_M10_THREADED_PLUG</x:v>
      </x:c>
    </x:row>
    <x:row r="19">
      <x:c r="A19" s="52" t="str">
        <x:v>M01</x:v>
      </x:c>
      <x:c r="B19" s="52" t="str">
        <x:v>igus JFM-2528-21 flanged sleeve bearing</x:v>
      </x:c>
      <x:c r="C19" s="52" t="str">
        <x:v>^A[1-3]_IGUS_JFM_2528_21$</x:v>
      </x:c>
      <x:c r="D19" s="66" t="n">
        <x:v>3</x:v>
      </x:c>
      <x:c r="E19" s="66" t="n">
        <x:v>3</x:v>
      </x:c>
      <x:c r="F19" s="66" t="n">
        <x:v>1</x:v>
      </x:c>
      <x:c r="G19" s="66" t="str">
        <x:v>NO</x:v>
      </x:c>
      <x:c r="H19" s="66" t="n">
        <x:v>3</x:v>
      </x:c>
      <x:c r="I19" s="66" t="n">
        <x:v>3</x:v>
      </x:c>
      <x:c r="J19" s="66" t="n">
        <x:v>3</x:v>
      </x:c>
      <x:c r="K19" s="70" t="str">
        <x:f>IF(AND(H19=E19,I19=E19,J19=E19),"PASS","CHECK")</x:f>
        <x:v>PASS</x:v>
      </x:c>
      <x:c r="L19" s="52" t="str">
        <x:v>A1_IGUS_JFM_2528_21; A2_IGUS_JFM_2528_21; A3_IGUS_JFM_2528_21</x:v>
      </x:c>
    </x:row>
    <x:row r="20">
      <x:c r="A20" s="52" t="str">
        <x:v>M02</x:v>
      </x:c>
      <x:c r="B20" s="52" t="str">
        <x:v>THK PHS10 RH female rod end</x:v>
      </x:c>
      <x:c r="C20" s="52" t="str">
        <x:v>^A[1-3]_THK_PHS10_RH$</x:v>
      </x:c>
      <x:c r="D20" s="66" t="n">
        <x:v>3</x:v>
      </x:c>
      <x:c r="E20" s="66" t="n">
        <x:v>3</x:v>
      </x:c>
      <x:c r="F20" s="66" t="n">
        <x:v>1</x:v>
      </x:c>
      <x:c r="G20" s="66" t="str">
        <x:v>NO</x:v>
      </x:c>
      <x:c r="H20" s="66" t="n">
        <x:v>3</x:v>
      </x:c>
      <x:c r="I20" s="66" t="n">
        <x:v>3</x:v>
      </x:c>
      <x:c r="J20" s="66" t="n">
        <x:v>3</x:v>
      </x:c>
      <x:c r="K20" s="70" t="str">
        <x:f>IF(AND(H20=E20,I20=E20,J20=E20),"PASS","CHECK")</x:f>
        <x:v>PASS</x:v>
      </x:c>
      <x:c r="L20" s="52" t="str">
        <x:v>A1_THK_PHS10_RH; A2_THK_PHS10_RH; A3_THK_PHS10_RH</x:v>
      </x:c>
    </x:row>
    <x:row r="21">
      <x:c r="A21" s="52" t="str">
        <x:v>M03</x:v>
      </x:c>
      <x:c r="B21" s="52" t="str">
        <x:v>IMAO BJ775-08040-SUS ball-lock ring pin</x:v>
      </x:c>
      <x:c r="C21" s="52" t="str">
        <x:v>^A[1-3]_IMAO_BJ775_08040_SUS_COARSE_PIN$</x:v>
      </x:c>
      <x:c r="D21" s="66" t="n">
        <x:v>3</x:v>
      </x:c>
      <x:c r="E21" s="66" t="n">
        <x:v>3</x:v>
      </x:c>
      <x:c r="F21" s="66" t="n">
        <x:v>1</x:v>
      </x:c>
      <x:c r="G21" s="66" t="str">
        <x:v>NO</x:v>
      </x:c>
      <x:c r="H21" s="66" t="n">
        <x:v>3</x:v>
      </x:c>
      <x:c r="I21" s="66" t="n">
        <x:v>3</x:v>
      </x:c>
      <x:c r="J21" s="66" t="n">
        <x:v>3</x:v>
      </x:c>
      <x:c r="K21" s="70" t="str">
        <x:f>IF(AND(H21=E21,I21=E21,J21=E21),"PASS","CHECK")</x:f>
        <x:v>PASS</x:v>
      </x:c>
      <x:c r="L21" s="52" t="str">
        <x:v>A1_IMAO_BJ775_08040_SUS_COARSE_PIN; A2_IMAO_BJ775_08040_SUS_COARSE_PIN; A3_IMAO_BJ775_08040_SUS_COARSE_PIN</x:v>
      </x:c>
    </x:row>
    <x:row r="22">
      <x:c r="A22" s="52" t="str">
        <x:v>F01</x:v>
      </x:c>
      <x:c r="B22" s="52" t="str">
        <x:v>M8 x 16 socket cap screw</x:v>
      </x:c>
      <x:c r="C22" s="52" t="str">
        <x:v>^BRACKET4035_[1-4]_[LR]_BOLT_[XY]$ | ^A[1-3]_CLEVIS_TO_ADAPTER_M8x16_[12]$</x:v>
      </x:c>
      <x:c r="D22" s="66" t="n">
        <x:v>22</x:v>
      </x:c>
      <x:c r="E22" s="66" t="n">
        <x:v>22</x:v>
      </x:c>
      <x:c r="F22" s="66" t="n">
        <x:v>1</x:v>
      </x:c>
      <x:c r="G22" s="66" t="str">
        <x:v>NO</x:v>
      </x:c>
      <x:c r="H22" s="66" t="n">
        <x:v>22</x:v>
      </x:c>
      <x:c r="I22" s="66" t="n">
        <x:v>22</x:v>
      </x:c>
      <x:c r="J22" s="66" t="n">
        <x:v>22</x:v>
      </x:c>
      <x:c r="K22" s="70" t="str">
        <x:f>IF(AND(H22=E22,I22=E22,J22=E22),"PASS","CHECK")</x:f>
        <x:v>PASS</x:v>
      </x:c>
      <x:c r="L22" s="52" t="str">
        <x:v>A1_CLEVIS_TO_ADAPTER_M8x16_1; A1_CLEVIS_TO_ADAPTER_M8x16_2; A2_CLEVIS_TO_ADAPTER_M8x16_1; A2_CLEVIS_TO_ADAPTER_M8x16_2; A3_CLEVIS_TO_ADAPTER_M8x16_1; A3_CLEVIS_TO_ADAPTER_M8x16_2; BRACKET4035_1_L_BOLT_X; BRACKET4035_1_L_BOLT_Y; BRACKET4035_1_R_BOLT_X; BRACKET4035_1_R_BOLT_Y; BRACKET4035_2_L_BOLT_X; BRACKET4035_2_L_BOLT_Y; BRACKET4035_2_R_BOLT_X; BRACKET4035_2_R_BOLT_Y; BRACKET4035_3_L_BOLT_X; BRACKET4035_3_L_BOLT_Y; BRACKET4035_3_R_BOLT_X; BRACKET4035_3_R_BOLT_Y; BRACKET4035_4_L_BOLT_X; BRACKET4035_4_L_BOLT_Y; BRACKET4035_4_R_BOLT_X; BRACKET4035_4_R_BOLT_Y</x:v>
      </x:c>
    </x:row>
    <x:row r="23">
      <x:c r="A23" s="52" t="str">
        <x:v>F02</x:v>
      </x:c>
      <x:c r="B23" s="52" t="str">
        <x:v>M8 x 20 socket cap screw</x:v>
      </x:c>
      <x:c r="C23" s="52" t="str">
        <x:v>^A[1-3]_ADAPTER_TO_PROFILE_M8x20_[12]$</x:v>
      </x:c>
      <x:c r="D23" s="66" t="n">
        <x:v>6</x:v>
      </x:c>
      <x:c r="E23" s="66" t="n">
        <x:v>6</x:v>
      </x:c>
      <x:c r="F23" s="66" t="n">
        <x:v>1</x:v>
      </x:c>
      <x:c r="G23" s="66" t="str">
        <x:v>NO</x:v>
      </x:c>
      <x:c r="H23" s="66" t="n">
        <x:v>6</x:v>
      </x:c>
      <x:c r="I23" s="66" t="n">
        <x:v>6</x:v>
      </x:c>
      <x:c r="J23" s="66" t="n">
        <x:v>6</x:v>
      </x:c>
      <x:c r="K23" s="70" t="str">
        <x:f>IF(AND(H23=E23,I23=E23,J23=E23),"PASS","CHECK")</x:f>
        <x:v>PASS</x:v>
      </x:c>
      <x:c r="L23" s="52" t="str">
        <x:v>A1_ADAPTER_TO_PROFILE_M8x20_1; A1_ADAPTER_TO_PROFILE_M8x20_2; A2_ADAPTER_TO_PROFILE_M8x20_1; A2_ADAPTER_TO_PROFILE_M8x20_2; A3_ADAPTER_TO_PROFILE_M8x20_1; A3_ADAPTER_TO_PROFILE_M8x20_2</x:v>
      </x:c>
    </x:row>
    <x:row r="24">
      <x:c r="A24" s="52" t="str">
        <x:v>F03</x:v>
      </x:c>
      <x:c r="B24" s="52" t="str">
        <x:v>M6 x 15 socket cap screw</x:v>
      </x:c>
      <x:c r="C24" s="52" t="str">
        <x:v>^DCB3025_[1-4]_[LR]_BOLT_[XY]$ | ^A[1-3]_UPPER_CLEVIS_TO_PROFILE_M6x15_[12]$</x:v>
      </x:c>
      <x:c r="D24" s="66" t="n">
        <x:v>22</x:v>
      </x:c>
      <x:c r="E24" s="66" t="n">
        <x:v>22</x:v>
      </x:c>
      <x:c r="F24" s="66" t="n">
        <x:v>1</x:v>
      </x:c>
      <x:c r="G24" s="66" t="str">
        <x:v>NO</x:v>
      </x:c>
      <x:c r="H24" s="66" t="n">
        <x:v>22</x:v>
      </x:c>
      <x:c r="I24" s="66" t="n">
        <x:v>22</x:v>
      </x:c>
      <x:c r="J24" s="66" t="n">
        <x:v>22</x:v>
      </x:c>
      <x:c r="K24" s="70" t="str">
        <x:f>IF(AND(H24=E24,I24=E24,J24=E24),"PASS","CHECK")</x:f>
        <x:v>PASS</x:v>
      </x:c>
      <x:c r="L24" s="52" t="str">
        <x:v>A1_UPPER_CLEVIS_TO_PROFILE_M6x15_1; A1_UPPER_CLEVIS_TO_PROFILE_M6x15_2; A2_UPPER_CLEVIS_TO_PROFILE_M6x15_1; A2_UPPER_CLEVIS_TO_PROFILE_M6x15_2; A3_UPPER_CLEVIS_TO_PROFILE_M6x15_1; A3_UPPER_CLEVIS_TO_PROFILE_M6x15_2; DCB3025_1_L_BOLT_X; DCB3025_1_L_BOLT_Y; DCB3025_1_R_BOLT_X; DCB3025_1_R_BOLT_Y; DCB3025_2_L_BOLT_X; DCB3025_2_L_BOLT_Y; DCB3025_2_R_BOLT_X; DCB3025_2_R_BOLT_Y; DCB3025_3_L_BOLT_X; DCB3025_3_L_BOLT_Y; DCB3025_3_R_BOLT_X; DCB3025_3_R_BOLT_Y; DCB3025_4_L_BOLT_X; DCB3025_4_L_BOLT_Y; DCB3025_4_R_BOLT_X; DCB3025_4_R_BOLT_Y</x:v>
      </x:c>
    </x:row>
    <x:row r="25">
      <x:c r="A25" s="52" t="str">
        <x:v>F04</x:v>
      </x:c>
      <x:c r="B25" s="52" t="str">
        <x:v>SP408 M8 spring slot nut</x:v>
      </x:c>
      <x:c r="C25" s="52" t="str">
        <x:v>^BRACKET4035_[1-4]_[LR]_BOLT_[XY]$ | ^A[1-3]_ADAPTER_TO_PROFILE_M8x20_[12]$</x:v>
      </x:c>
      <x:c r="D25" s="66" t="n">
        <x:v>22</x:v>
      </x:c>
      <x:c r="E25" s="66" t="n">
        <x:v>22</x:v>
      </x:c>
      <x:c r="F25" s="66" t="n">
        <x:v>1</x:v>
      </x:c>
      <x:c r="G25" s="66" t="str">
        <x:v>YES</x:v>
      </x:c>
      <x:c r="H25" s="66" t="n">
        <x:v>22</x:v>
      </x:c>
      <x:c r="I25" s="66" t="n">
        <x:v>22</x:v>
      </x:c>
      <x:c r="J25" s="66" t="n">
        <x:v>22</x:v>
      </x:c>
      <x:c r="K25" s="70" t="str">
        <x:f>IF(AND(H25=E25,I25=E25,J25=E25),"PASS","CHECK")</x:f>
        <x:v>PASS</x:v>
      </x:c>
      <x:c r="L25" s="52" t="str">
        <x:v>A1_ADAPTER_TO_PROFILE_M8x20_1; A1_ADAPTER_TO_PROFILE_M8x20_2; A2_ADAPTER_TO_PROFILE_M8x20_1; A2_ADAPTER_TO_PROFILE_M8x20_2; A3_ADAPTER_TO_PROFILE_M8x20_1; A3_ADAPTER_TO_PROFILE_M8x20_2; BRACKET4035_1_L_BOLT_X; BRACKET4035_1_L_BOLT_Y; BRACKET4035_1_R_BOLT_X; BRACKET4035_1_R_BOLT_Y; BRACKET4035_2_L_BOLT_X; BRACKET4035_2_L_BOLT_Y; BRACKET4035_2_R_BOLT_X; BRACKET4035_2_R_BOLT_Y; BRACKET4035_3_L_BOLT_X; BRACKET4035_3_L_BOLT_Y; BRACKET4035_3_R_BOLT_X; BRACKET4035_3_R_BOLT_Y; BRACKET4035_4_L_BOLT_X; BRACKET4035_4_L_BOLT_Y; BRACKET4035_4_R_BOLT_X; BRACKET4035_4_R_BOLT_Y</x:v>
      </x:c>
    </x:row>
    <x:row r="26">
      <x:c r="A26" s="52" t="str">
        <x:v>F05</x:v>
      </x:c>
      <x:c r="B26" s="52" t="str">
        <x:v>SP306 M6 spring slot nut</x:v>
      </x:c>
      <x:c r="C26" s="52" t="str">
        <x:v>^DCB3025_[1-4]_[LR]_BOLT_[XY]$ | ^A[1-3]_UPPER_CLEVIS_TO_PROFILE_M6x15_[12]$</x:v>
      </x:c>
      <x:c r="D26" s="66" t="n">
        <x:v>22</x:v>
      </x:c>
      <x:c r="E26" s="66" t="n">
        <x:v>22</x:v>
      </x:c>
      <x:c r="F26" s="66" t="n">
        <x:v>1</x:v>
      </x:c>
      <x:c r="G26" s="66" t="str">
        <x:v>YES</x:v>
      </x:c>
      <x:c r="H26" s="66" t="n">
        <x:v>22</x:v>
      </x:c>
      <x:c r="I26" s="66" t="n">
        <x:v>22</x:v>
      </x:c>
      <x:c r="J26" s="66" t="n">
        <x:v>22</x:v>
      </x:c>
      <x:c r="K26" s="70" t="str">
        <x:f>IF(AND(H26=E26,I26=E26,J26=E26),"PASS","CHECK")</x:f>
        <x:v>PASS</x:v>
      </x:c>
      <x:c r="L26" s="52" t="str">
        <x:v>A1_UPPER_CLEVIS_TO_PROFILE_M6x15_1; A1_UPPER_CLEVIS_TO_PROFILE_M6x15_2; A2_UPPER_CLEVIS_TO_PROFILE_M6x15_1; A2_UPPER_CLEVIS_TO_PROFILE_M6x15_2; A3_UPPER_CLEVIS_TO_PROFILE_M6x15_1; A3_UPPER_CLEVIS_TO_PROFILE_M6x15_2; DCB3025_1_L_BOLT_X; DCB3025_1_L_BOLT_Y; DCB3025_1_R_BOLT_X; DCB3025_1_R_BOLT_Y; DCB3025_2_L_BOLT_X; DCB3025_2_L_BOLT_Y; DCB3025_2_R_BOLT_X; DCB3025_2_R_BOLT_Y; DCB3025_3_L_BOLT_X; DCB3025_3_L_BOLT_Y; DCB3025_3_R_BOLT_X; DCB3025_3_R_BOLT_Y; DCB3025_4_L_BOLT_X; DCB3025_4_L_BOLT_Y; DCB3025_4_R_BOLT_X; DCB3025_4_R_BOLT_Y</x:v>
      </x:c>
    </x:row>
    <x:row r="27">
      <x:c r="A27" s="52" t="str">
        <x:v>F06</x:v>
      </x:c>
      <x:c r="B27" s="52" t="str">
        <x:v>M10 x 1.5 threaded rod, 285 mm</x:v>
      </x:c>
      <x:c r="C27" s="52" t="str">
        <x:v>^A[1-3]_M10x1p5_FINE_STUD_L53$</x:v>
      </x:c>
      <x:c r="D27" s="66" t="n">
        <x:v>3</x:v>
      </x:c>
      <x:c r="E27" s="66" t="n">
        <x:v>3</x:v>
      </x:c>
      <x:c r="F27" s="66" t="n">
        <x:v>1</x:v>
      </x:c>
      <x:c r="G27" s="66" t="str">
        <x:v>NO</x:v>
      </x:c>
      <x:c r="H27" s="66" t="n">
        <x:v>3</x:v>
      </x:c>
      <x:c r="I27" s="66" t="n">
        <x:v>3</x:v>
      </x:c>
      <x:c r="J27" s="66" t="n">
        <x:v>3</x:v>
      </x:c>
      <x:c r="K27" s="70" t="str">
        <x:f>IF(AND(H27=E27,I27=E27,J27=E27),"PASS","CHECK")</x:f>
        <x:v>PASS</x:v>
      </x:c>
      <x:c r="L27" s="52" t="str">
        <x:v>A1_M10x1p5_FINE_STUD_L53; A2_M10x1p5_FINE_STUD_L53; A3_M10x1p5_FINE_STUD_L53</x:v>
      </x:c>
    </x:row>
    <x:row r="28">
      <x:c r="A28" s="52" t="str">
        <x:v>F07</x:v>
      </x:c>
      <x:c r="B28" s="52" t="str">
        <x:v>DIN 439 M10 thin jam nut</x:v>
      </x:c>
      <x:c r="C28" s="52" t="str">
        <x:v>^A[1-3]_2x_M10_DIN439_THIN_JAM_NUTS$</x:v>
      </x:c>
      <x:c r="D28" s="66" t="n">
        <x:v>6</x:v>
      </x:c>
      <x:c r="E28" s="66" t="n">
        <x:v>3</x:v>
      </x:c>
      <x:c r="F28" s="66" t="n">
        <x:v>2</x:v>
      </x:c>
      <x:c r="G28" s="66" t="str">
        <x:v>NO</x:v>
      </x:c>
      <x:c r="H28" s="66" t="n">
        <x:v>3</x:v>
      </x:c>
      <x:c r="I28" s="66" t="n">
        <x:v>3</x:v>
      </x:c>
      <x:c r="J28" s="66" t="n">
        <x:v>3</x:v>
      </x:c>
      <x:c r="K28" s="70" t="str">
        <x:f>IF(AND(H28=E28,I28=E28,J28=E28),"PASS","CHECK")</x:f>
        <x:v>PASS</x:v>
      </x:c>
      <x:c r="L28" s="52" t="str">
        <x:v>A1_2x_M10_DIN439_THIN_JAM_NUTS; A2_2x_M10_DIN439_THIN_JAM_NUTS; A3_2x_M10_DIN439_THIN_JAM_NUTS</x:v>
      </x:c>
    </x:row>
    <x:row r="29">
      <x:c r="A29" s="52" t="str">
        <x:v>F08</x:v>
      </x:c>
      <x:c r="B29" s="52" t="str">
        <x:v>Lower shoulder pin and prevailing-torque locknut set</x:v>
      </x:c>
      <x:c r="C29" s="52" t="str">
        <x:v>^A[1-3]_LOWER_M8_SHOULDER_BOLT_GRIP46$</x:v>
      </x:c>
      <x:c r="D29" s="66" t="n">
        <x:v>3</x:v>
      </x:c>
      <x:c r="E29" s="66" t="n">
        <x:v>3</x:v>
      </x:c>
      <x:c r="F29" s="66" t="n">
        <x:v>1</x:v>
      </x:c>
      <x:c r="G29" s="66" t="str">
        <x:v>NO</x:v>
      </x:c>
      <x:c r="H29" s="66" t="n">
        <x:v>3</x:v>
      </x:c>
      <x:c r="I29" s="66" t="n">
        <x:v>3</x:v>
      </x:c>
      <x:c r="J29" s="66" t="n">
        <x:v>3</x:v>
      </x:c>
      <x:c r="K29" s="70" t="str">
        <x:f>IF(AND(H29=E29,I29=E29,J29=E29),"PASS","CHECK")</x:f>
        <x:v>PASS</x:v>
      </x:c>
      <x:c r="L29" s="52" t="str">
        <x:v>A1_LOWER_M8_SHOULDER_BOLT_GRIP46; A2_LOWER_M8_SHOULDER_BOLT_GRIP46; A3_LOWER_M8_SHOULDER_BOLT_GRIP46</x:v>
      </x:c>
    </x:row>
    <x:row r="30">
      <x:c r="A30" s="52" t="str">
        <x:v>F09</x:v>
      </x:c>
      <x:c r="B30" s="52" t="str">
        <x:v>Upper shoulder pin and prevailing-torque locknut set</x:v>
      </x:c>
      <x:c r="C30" s="52" t="str">
        <x:v>^A[1-3]_UPPER_M10_SHOULDER_BOLT_GRIP32$</x:v>
      </x:c>
      <x:c r="D30" s="66" t="n">
        <x:v>3</x:v>
      </x:c>
      <x:c r="E30" s="66" t="n">
        <x:v>3</x:v>
      </x:c>
      <x:c r="F30" s="66" t="n">
        <x:v>1</x:v>
      </x:c>
      <x:c r="G30" s="66" t="str">
        <x:v>NO</x:v>
      </x:c>
      <x:c r="H30" s="66" t="n">
        <x:v>3</x:v>
      </x:c>
      <x:c r="I30" s="66" t="n">
        <x:v>3</x:v>
      </x:c>
      <x:c r="J30" s="66" t="n">
        <x:v>3</x:v>
      </x:c>
      <x:c r="K30" s="70" t="str">
        <x:f>IF(AND(H30=E30,I30=E30,J30=E30),"PASS","CHECK")</x:f>
        <x:v>PASS</x:v>
      </x:c>
      <x:c r="L30" s="52" t="str">
        <x:v>A1_UPPER_M10_SHOULDER_BOLT_GRIP32; A2_UPPER_M10_SHOULDER_BOLT_GRIP32; A3_UPPER_M10_SHOULDER_BOLT_GRIP32</x:v>
      </x:c>
    </x:row>
    <x:row r="31">
      <x:c r="A31" s="52" t="str">
        <x:v>F10</x:v>
      </x:c>
      <x:c r="B31" s="52" t="str">
        <x:v>Upper side shim</x:v>
      </x:c>
      <x:c r="C31" s="52" t="str">
        <x:v>^A[1-3]_UPPER_ID10_OD18_SHIM_3MM_[12]$</x:v>
      </x:c>
      <x:c r="D31" s="66" t="n">
        <x:v>6</x:v>
      </x:c>
      <x:c r="E31" s="66" t="n">
        <x:v>6</x:v>
      </x:c>
      <x:c r="F31" s="66" t="n">
        <x:v>1</x:v>
      </x:c>
      <x:c r="G31" s="66" t="str">
        <x:v>NO</x:v>
      </x:c>
      <x:c r="H31" s="66" t="n">
        <x:v>6</x:v>
      </x:c>
      <x:c r="I31" s="66" t="n">
        <x:v>6</x:v>
      </x:c>
      <x:c r="J31" s="66" t="n">
        <x:v>6</x:v>
      </x:c>
      <x:c r="K31" s="70" t="str">
        <x:f>IF(AND(H31=E31,I31=E31,J31=E31),"PASS","CHECK")</x:f>
        <x:v>PASS</x:v>
      </x:c>
      <x:c r="L31" s="52" t="str">
        <x:v>A1_UPPER_ID10_OD18_SHIM_3MM_1; A1_UPPER_ID10_OD18_SHIM_3MM_2; A2_UPPER_ID10_OD18_SHIM_3MM_1; A2_UPPER_ID10_OD18_SHIM_3MM_2; A3_UPPER_ID10_OD18_SHIM_3MM_1; A3_UPPER_ID10_OD18_SHIM_3MM_2</x:v>
      </x:c>
    </x:row>
    <x:row r="32">
      <x:c r="A32" s="52" t="str">
        <x:v>F11</x:v>
      </x:c>
      <x:c r="B32" s="52" t="str">
        <x:v>M4 x 40 socket cap screw plus M4 nyloc nut</x:v>
      </x:c>
      <x:c r="C32" s="52" t="str">
        <x:v>^A[1-3]_PLUG_RETAINER_M4_GRIP32$</x:v>
      </x:c>
      <x:c r="D32" s="66" t="n">
        <x:v>3</x:v>
      </x:c>
      <x:c r="E32" s="66" t="n">
        <x:v>3</x:v>
      </x:c>
      <x:c r="F32" s="66" t="n">
        <x:v>1</x:v>
      </x:c>
      <x:c r="G32" s="66" t="str">
        <x:v>NO</x:v>
      </x:c>
      <x:c r="H32" s="66" t="n">
        <x:v>3</x:v>
      </x:c>
      <x:c r="I32" s="66" t="n">
        <x:v>3</x:v>
      </x:c>
      <x:c r="J32" s="66" t="n">
        <x:v>3</x:v>
      </x:c>
      <x:c r="K32" s="70" t="str">
        <x:f>IF(AND(H32=E32,I32=E32,J32=E32),"PASS","CHECK")</x:f>
        <x:v>PASS</x:v>
      </x:c>
      <x:c r="L32" s="52" t="str">
        <x:v>A1_PLUG_RETAINER_M4_GRIP32; A2_PLUG_RETAINER_M4_GRIP32; A3_PLUG_RETAINER_M4_GRIP32</x:v>
      </x:c>
    </x:row>
    <x:row r="33">
      <x:c r="A33" s="52" t="str">
        <x:v>F12</x:v>
      </x:c>
      <x:c r="B33" s="52" t="str">
        <x:v>LOCTITE 243 medium-strength threadlocker</x:v>
      </x:c>
      <x:c r="C33" s="52" t="str"/>
      <x:c r="D33" s="66" t="n">
        <x:v>1</x:v>
      </x:c>
      <x:c r="E33" s="66" t="n">
        <x:v>0</x:v>
      </x:c>
      <x:c r="F33" s="66" t="n">
        <x:v>1</x:v>
      </x:c>
      <x:c r="G33" s="66" t="str">
        <x:v>YES</x:v>
      </x:c>
      <x:c r="H33" s="66" t="n">
        <x:v>0</x:v>
      </x:c>
      <x:c r="I33" s="66" t="n">
        <x:v>0</x:v>
      </x:c>
      <x:c r="J33" s="66" t="n">
        <x:v>0</x:v>
      </x:c>
      <x:c r="K33" s="70" t="str">
        <x:f>IF(AND(H33=E33,I33=E33,J33=E33),"PASS","CHECK")</x:f>
        <x:v>PASS</x:v>
      </x:c>
      <x:c r="L33" s="52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4fa063c37804e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9" hidden="0" customWidth="1"/>
    <x:col min="3" max="3" width="68" hidden="0" customWidth="1"/>
    <x:col min="4" max="4" width="25" hidden="0" customWidth="1"/>
    <x:col min="5" max="5" width="9" hidden="0" customWidth="1"/>
    <x:col min="6" max="6" width="9" hidden="0" customWidth="1"/>
    <x:col min="7" max="7" width="12" hidden="0" customWidth="1"/>
    <x:col min="8" max="8" width="14" hidden="0" customWidth="1"/>
    <x:col min="9" max="9" width="16" hidden="0" customWidth="1"/>
    <x:col min="10" max="10" width="25" hidden="0" customWidth="1"/>
    <x:col min="11" max="11" width="56" hidden="0" customWidth="1"/>
  </x:cols>
  <x:sheetData>
    <x:row r="1" ht="32" customHeight="1">
      <x:c r="A1" s="3" t="str">
        <x:v>Custom Machining and Special Hardware Quote List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Use with fabrication/manual_rev_m1_custom_part_spec_2026-09-02.md and the native F3D/STEP. Quote one A1 trial set before releasing the full quantity.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0" customHeight="1">
      <x:c r="A5" s="43" t="str">
        <x:v>Line</x:v>
      </x:c>
      <x:c r="B5" s="44" t="str">
        <x:v>Item</x:v>
      </x:c>
      <x:c r="C5" s="44" t="str">
        <x:v>Exact specification</x:v>
      </x:c>
      <x:c r="D5" s="44" t="str">
        <x:v>Material</x:v>
      </x:c>
      <x:c r="E5" s="44" t="str">
        <x:v>Used</x:v>
      </x:c>
      <x:c r="F5" s="44" t="str">
        <x:v>Order</x:v>
      </x:c>
      <x:c r="G5" s="44" t="str">
        <x:v>Unit</x:v>
      </x:c>
      <x:c r="H5" s="44" t="str">
        <x:v>Budget unit</x:v>
      </x:c>
      <x:c r="I5" s="44" t="str">
        <x:v>Budget extended</x:v>
      </x:c>
      <x:c r="J5" s="44" t="str">
        <x:v>Status</x:v>
      </x:c>
      <x:c r="K5" s="45" t="str">
        <x:v>Quote/inspection condition</x:v>
      </x:c>
    </x:row>
    <x:row r="6">
      <x:c r="A6" s="51" t="str">
        <x:v>C01</x:v>
      </x:c>
      <x:c r="B6" s="51" t="str">
        <x:v>Lower local adapter</x:v>
      </x:c>
      <x:c r="C6" s="51" t="str">
        <x:v>120 x 80 x 8; two diameter-9 through holes at 96 pitch; two M8 x 1.25 tapped holes at 40 pitch</x:v>
      </x:c>
      <x:c r="D6" s="51" t="str">
        <x:v>A6061-T6</x:v>
      </x:c>
      <x:c r="E6" s="53" t="n">
        <x:v>3</x:v>
      </x:c>
      <x:c r="F6" s="53" t="n">
        <x:v>3</x:v>
      </x:c>
      <x:c r="G6" s="53" t="str">
        <x:v>EA</x:v>
      </x:c>
      <x:c r="H6" s="55" t="n">
        <x:v>30000</x:v>
      </x:c>
      <x:c r="I6" s="55" t="n">
        <x:v>90000</x:v>
      </x:c>
      <x:c r="J6" s="71" t="str">
        <x:v>READY_TO_QUOTE</x:v>
      </x:c>
      <x:c r="K6" s="51" t="str">
        <x:v>Tap after diameter-6.8 drilling; deburr all edges</x:v>
      </x:c>
    </x:row>
    <x:row r="7">
      <x:c r="A7" s="52" t="str">
        <x:v>C02</x:v>
      </x:c>
      <x:c r="B7" s="52" t="str">
        <x:v>Lower one-piece clevis</x:v>
      </x:c>
      <x:c r="C7" s="52" t="str">
        <x:v>Base 60 x 50 x 8; clear gap 34; ears t6; outside width 46; pivot diameter 8.2; pivot center 28 above base top</x:v>
      </x:c>
      <x:c r="D7" s="52" t="str">
        <x:v>A6061-T6</x:v>
      </x:c>
      <x:c r="E7" s="54" t="n">
        <x:v>3</x:v>
      </x:c>
      <x:c r="F7" s="54" t="n">
        <x:v>3</x:v>
      </x:c>
      <x:c r="G7" s="54" t="str">
        <x:v>EA</x:v>
      </x:c>
      <x:c r="H7" s="56" t="n">
        <x:v>120000</x:v>
      </x:c>
      <x:c r="I7" s="56" t="n">
        <x:v>360000</x:v>
      </x:c>
      <x:c r="J7" s="63" t="str">
        <x:v>READY_TO_QUOTE</x:v>
      </x:c>
      <x:c r="K7" s="52" t="str">
        <x:v>Machine from one billet; no welding; maintain coaxial pivot bores</x:v>
      </x:c>
    </x:row>
    <x:row r="8">
      <x:c r="A8" s="52" t="str">
        <x:v>C03</x:v>
      </x:c>
      <x:c r="B8" s="52" t="str">
        <x:v>Upper one-piece clevis</x:v>
      </x:c>
      <x:c r="C8" s="52" t="str">
        <x:v>Base 100 x 60 x 8; mounting pitch 84; clear gap 20; ears t6; outside width 32; pivot diameter 10.2</x:v>
      </x:c>
      <x:c r="D8" s="52" t="str">
        <x:v>A6061-T6</x:v>
      </x:c>
      <x:c r="E8" s="54" t="n">
        <x:v>3</x:v>
      </x:c>
      <x:c r="F8" s="54" t="n">
        <x:v>3</x:v>
      </x:c>
      <x:c r="G8" s="54" t="str">
        <x:v>EA</x:v>
      </x:c>
      <x:c r="H8" s="56" t="n">
        <x:v>120000</x:v>
      </x:c>
      <x:c r="I8" s="56" t="n">
        <x:v>360000</x:v>
      </x:c>
      <x:c r="J8" s="63" t="str">
        <x:v>READY_TO_QUOTE</x:v>
      </x:c>
      <x:c r="K8" s="52" t="str">
        <x:v>Machine from one billet; no welding; maintain coaxial pivot bores</x:v>
      </x:c>
    </x:row>
    <x:row r="9">
      <x:c r="A9" s="52" t="str">
        <x:v>C04</x:v>
      </x:c>
      <x:c r="B9" s="52" t="str">
        <x:v>Finished outer tube</x:v>
      </x:c>
      <x:c r="C9" s="52" t="str">
        <x:v>OD32 x ID28 x L160; upper 21 mm housing reamed to diameter 28.000-28.021; lower pivot bore diameter8.2; coarse-pin bore diameter8 +0.1/0</x:v>
      </x:c>
      <x:c r="D9" s="52" t="str">
        <x:v>Aluminum tube, 6061-T6 preferred</x:v>
      </x:c>
      <x:c r="E9" s="54" t="n">
        <x:v>3</x:v>
      </x:c>
      <x:c r="F9" s="54" t="n">
        <x:v>4</x:v>
      </x:c>
      <x:c r="G9" s="54" t="str">
        <x:v>EA</x:v>
      </x:c>
      <x:c r="H9" s="56" t="n">
        <x:v>50000</x:v>
      </x:c>
      <x:c r="I9" s="56" t="n">
        <x:v>200000</x:v>
      </x:c>
      <x:c r="J9" s="63" t="str">
        <x:v>READY_TO_QUOTE</x:v>
      </x:c>
      <x:c r="K9" s="52" t="str">
        <x:v>Machine bushing housing after tube receipt; inspect ID before reaming</x:v>
      </x:c>
    </x:row>
    <x:row r="10">
      <x:c r="A10" s="52" t="str">
        <x:v>C05</x:v>
      </x:c>
      <x:c r="B10" s="52" t="str">
        <x:v>Finished inner tube</x:v>
      </x:c>
      <x:c r="C10" s="52" t="str">
        <x:v>OD25 shaft tolerance 24.948-25.000 x ID21 x L150; six diameter8 +0.1/0 coarse holes at 15 pitch; one diameter-4.2 retainer hole</x:v>
      </x:c>
      <x:c r="D10" s="52" t="str">
        <x:v>Aluminum tube, 6061-T6 preferred</x:v>
      </x:c>
      <x:c r="E10" s="54" t="n">
        <x:v>3</x:v>
      </x:c>
      <x:c r="F10" s="54" t="n">
        <x:v>4</x:v>
      </x:c>
      <x:c r="G10" s="54" t="str">
        <x:v>EA</x:v>
      </x:c>
      <x:c r="H10" s="56" t="n">
        <x:v>35000</x:v>
      </x:c>
      <x:c r="I10" s="56" t="n">
        <x:v>140000</x:v>
      </x:c>
      <x:c r="J10" s="63" t="str">
        <x:v>READY_TO_QUOTE</x:v>
      </x:c>
      <x:c r="K10" s="52" t="str">
        <x:v>Verify actual OD is within 24.948-25.000 before ordering batch machining</x:v>
      </x:c>
    </x:row>
    <x:row r="11">
      <x:c r="A11" s="52" t="str">
        <x:v>C06</x:v>
      </x:c>
      <x:c r="B11" s="52" t="str">
        <x:v>Lower guide ring</x:v>
      </x:c>
      <x:c r="C11" s="52" t="str">
        <x:v>OD27.6 x ID25.10 x L12, split installation permitted</x:v>
      </x:c>
      <x:c r="D11" s="52" t="str">
        <x:v>POM-C</x:v>
      </x:c>
      <x:c r="E11" s="54" t="n">
        <x:v>3</x:v>
      </x:c>
      <x:c r="F11" s="54" t="n">
        <x:v>4</x:v>
      </x:c>
      <x:c r="G11" s="54" t="str">
        <x:v>EA</x:v>
      </x:c>
      <x:c r="H11" s="56" t="n">
        <x:v>15000</x:v>
      </x:c>
      <x:c r="I11" s="56" t="n">
        <x:v>60000</x:v>
      </x:c>
      <x:c r="J11" s="63" t="str">
        <x:v>READY_TO_QUOTE</x:v>
      </x:c>
      <x:c r="K11" s="52" t="str">
        <x:v>Deburr and dry-fit with actual inner/outer tubes</x:v>
      </x:c>
    </x:row>
    <x:row r="12">
      <x:c r="A12" s="52" t="str">
        <x:v>C07</x:v>
      </x:c>
      <x:c r="B12" s="52" t="str">
        <x:v>M10 threaded insert plug</x:v>
      </x:c>
      <x:c r="C12" s="52" t="str">
        <x:v>OD20.8 x L30; axial M10 x 1.5 thread depth 22 minimum; diameter-4.2 retainer cross hole 7.5 from plug lower end (22.5 from outer end)</x:v>
      </x:c>
      <x:c r="D12" s="52" t="str">
        <x:v>A6061-T6</x:v>
      </x:c>
      <x:c r="E12" s="54" t="n">
        <x:v>3</x:v>
      </x:c>
      <x:c r="F12" s="54" t="n">
        <x:v>4</x:v>
      </x:c>
      <x:c r="G12" s="54" t="str">
        <x:v>EA</x:v>
      </x:c>
      <x:c r="H12" s="56" t="n">
        <x:v>25000</x:v>
      </x:c>
      <x:c r="I12" s="56" t="n">
        <x:v>100000</x:v>
      </x:c>
      <x:c r="J12" s="63" t="str">
        <x:v>READY_TO_QUOTE</x:v>
      </x:c>
      <x:c r="K12" s="52" t="str">
        <x:v>Cross drill plug and inner tube together after dry fit</x:v>
      </x:c>
    </x:row>
    <x:row r="13">
      <x:c r="A13" s="52" t="str">
        <x:v>F08</x:v>
      </x:c>
      <x:c r="B13" s="52" t="str">
        <x:v>Lower shoulder pin and prevailing-torque locknut set</x:v>
      </x:c>
      <x:c r="C13" s="52" t="str">
        <x:v>Shoulder diameter 7.98 h9, grip 46, head diameter14 x 7; M8 threaded end and 13 AF x 6.5 locknut</x:v>
      </x:c>
      <x:c r="D13" s="52" t="str">
        <x:v>SCM435, hardened and black oxide</x:v>
      </x:c>
      <x:c r="E13" s="54" t="n">
        <x:v>3</x:v>
      </x:c>
      <x:c r="F13" s="54" t="n">
        <x:v>4</x:v>
      </x:c>
      <x:c r="G13" s="54" t="str">
        <x:v>SET</x:v>
      </x:c>
      <x:c r="H13" s="56" t="n">
        <x:v>30000</x:v>
      </x:c>
      <x:c r="I13" s="56" t="n">
        <x:v>120000</x:v>
      </x:c>
      <x:c r="J13" s="63" t="str">
        <x:v>READY_TO_QUOTE</x:v>
      </x:c>
      <x:c r="K13" s="52" t="str">
        <x:v>No thread may lie inside either clevis ear or outer tube pivot bore</x:v>
      </x:c>
    </x:row>
    <x:row r="14">
      <x:c r="A14" s="52" t="str">
        <x:v>F09</x:v>
      </x:c>
      <x:c r="B14" s="52" t="str">
        <x:v>Upper shoulder pin and prevailing-torque locknut set</x:v>
      </x:c>
      <x:c r="C14" s="52" t="str">
        <x:v>Shoulder diameter 9.98 h9, grip 32, head diameter16 x 5; M10 threaded end and 17 AF x 8 locknut</x:v>
      </x:c>
      <x:c r="D14" s="52" t="str">
        <x:v>SCM435, hardened and black oxide</x:v>
      </x:c>
      <x:c r="E14" s="54" t="n">
        <x:v>3</x:v>
      </x:c>
      <x:c r="F14" s="54" t="n">
        <x:v>4</x:v>
      </x:c>
      <x:c r="G14" s="54" t="str">
        <x:v>SET</x:v>
      </x:c>
      <x:c r="H14" s="56" t="n">
        <x:v>35000</x:v>
      </x:c>
      <x:c r="I14" s="56" t="n">
        <x:v>140000</x:v>
      </x:c>
      <x:c r="J14" s="63" t="str">
        <x:v>READY_TO_QUOTE</x:v>
      </x:c>
      <x:c r="K14" s="52" t="str">
        <x:v>No thread may lie inside clevis ears, shims, or PHS10 bore</x:v>
      </x:c>
    </x:row>
    <x:row r="15">
      <x:c r="A15" s="52" t="str">
        <x:v>F10</x:v>
      </x:c>
      <x:c r="B15" s="52" t="str">
        <x:v>Upper side shim</x:v>
      </x:c>
      <x:c r="C15" s="52" t="str">
        <x:v>ID10.2, OD18, thickness3</x:v>
      </x:c>
      <x:c r="D15" s="52" t="str">
        <x:v>SUS304</x:v>
      </x:c>
      <x:c r="E15" s="54" t="n">
        <x:v>6</x:v>
      </x:c>
      <x:c r="F15" s="54" t="n">
        <x:v>8</x:v>
      </x:c>
      <x:c r="G15" s="54" t="str">
        <x:v>EA</x:v>
      </x:c>
      <x:c r="H15" s="56" t="n">
        <x:v>5000</x:v>
      </x:c>
      <x:c r="I15" s="56" t="n">
        <x:v>40000</x:v>
      </x:c>
      <x:c r="J15" s="63" t="str">
        <x:v>READY_TO_QUOTE</x:v>
      </x:c>
      <x:c r="K15" s="52" t="str">
        <x:v>Thickness tolerance +/-0.05 preferred; verify free articulation after assembly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aa9a61fd03384e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3" hidden="0" customWidth="1"/>
    <x:col min="3" max="3" width="9" hidden="0" customWidth="1"/>
    <x:col min="4" max="4" width="13" hidden="0" customWidth="1"/>
    <x:col min="5" max="5" width="10" hidden="0" customWidth="1"/>
    <x:col min="6" max="6" width="12" hidden="0" customWidth="1"/>
    <x:col min="7" max="7" width="43" hidden="0" customWidth="1"/>
    <x:col min="8" max="8" width="36" hidden="0" customWidth="1"/>
  </x:cols>
  <x:sheetData>
    <x:row r="1" ht="32" customHeight="1">
      <x:c r="A1" s="3" t="str">
        <x:v>Assembly, Interference, Section and BOM Verification Record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Corrected design was verified, then the complete process was repeated once without source changes. All values below are traceable to JSON audit files in the output folder.</x:v>
      </x:c>
      <x:c r="B2" s="7"/>
      <x:c r="C2" s="7"/>
      <x:c r="D2" s="7"/>
      <x:c r="E2" s="7"/>
      <x:c r="F2" s="7"/>
      <x:c r="G2" s="7"/>
      <x:c r="H2" s="7"/>
    </x:row>
    <x:row r="5" ht="30" customHeight="1">
      <x:c r="A5" s="43" t="str">
        <x:v>Round</x:v>
      </x:c>
      <x:c r="B5" s="44" t="str">
        <x:v>Check</x:v>
      </x:c>
      <x:c r="C5" s="44" t="str">
        <x:v>Pass</x:v>
      </x:c>
      <x:c r="D5" s="44" t="str">
        <x:v>Items checked</x:v>
      </x:c>
      <x:c r="E5" s="44" t="str">
        <x:v>Issues</x:v>
      </x:c>
      <x:c r="F5" s="44" t="str">
        <x:v>Result</x:v>
      </x:c>
      <x:c r="G5" s="44" t="str">
        <x:v>Evidence</x:v>
      </x:c>
      <x:c r="H5" s="45" t="str">
        <x:v>Detail</x:v>
      </x:c>
    </x:row>
    <x:row r="6">
      <x:c r="A6" s="51" t="str">
        <x:v>Round 1</x:v>
      </x:c>
      <x:c r="B6" s="51" t="str">
        <x:v>Fusion interference</x:v>
      </x:c>
      <x:c r="C6" s="65" t="n">
        <x:v>1</x:v>
      </x:c>
      <x:c r="D6" s="65" t="n">
        <x:v>129</x:v>
      </x:c>
      <x:c r="E6" s="65" t="n">
        <x:v>0</x:v>
      </x:c>
      <x:c r="F6" s="69" t="str">
        <x:v>PASS</x:v>
      </x:c>
      <x:c r="G6" s="51" t="str">
        <x:v>Design.analyzeInterference</x:v>
      </x:c>
      <x:c r="H6" s="51" t="str">
        <x:v>Coincident faces excluded</x:v>
      </x:c>
    </x:row>
    <x:row r="7">
      <x:c r="A7" s="52" t="str">
        <x:v>Round 1</x:v>
      </x:c>
      <x:c r="B7" s="52" t="str">
        <x:v>Fusion interference</x:v>
      </x:c>
      <x:c r="C7" s="66" t="n">
        <x:v>2</x:v>
      </x:c>
      <x:c r="D7" s="66" t="n">
        <x:v>129</x:v>
      </x:c>
      <x:c r="E7" s="66" t="n">
        <x:v>0</x:v>
      </x:c>
      <x:c r="F7" s="70" t="str">
        <x:v>PASS</x:v>
      </x:c>
      <x:c r="G7" s="52" t="str">
        <x:v>Design.analyzeInterference</x:v>
      </x:c>
      <x:c r="H7" s="52" t="str">
        <x:v>Coincident faces excluded</x:v>
      </x:c>
    </x:row>
    <x:row r="8">
      <x:c r="A8" s="52" t="str">
        <x:v>Round 1</x:v>
      </x:c>
      <x:c r="B8" s="52" t="str">
        <x:v>Fusion interference</x:v>
      </x:c>
      <x:c r="C8" s="66" t="n">
        <x:v>3</x:v>
      </x:c>
      <x:c r="D8" s="66" t="n">
        <x:v>129</x:v>
      </x:c>
      <x:c r="E8" s="66" t="n">
        <x:v>0</x:v>
      </x:c>
      <x:c r="F8" s="70" t="str">
        <x:v>PASS</x:v>
      </x:c>
      <x:c r="G8" s="52" t="str">
        <x:v>Design.analyzeInterference</x:v>
      </x:c>
      <x:c r="H8" s="52" t="str">
        <x:v>Coincident faces excluded</x:v>
      </x:c>
    </x:row>
    <x:row r="9">
      <x:c r="A9" s="52" t="str">
        <x:v>Round 1</x:v>
      </x:c>
      <x:c r="B9" s="52" t="str">
        <x:v>Fusion section</x:v>
      </x:c>
      <x:c r="C9" s="66" t="n">
        <x:v>1</x:v>
      </x:c>
      <x:c r="D9" s="66" t="n">
        <x:v>1</x:v>
      </x:c>
      <x:c r="E9" s="66" t="n">
        <x:v>0</x:v>
      </x:c>
      <x:c r="F9" s="70" t="str">
        <x:v>PASS</x:v>
      </x:c>
      <x:c r="G9" s="52" t="str">
        <x:v>Manual_3RPS_RevM1_A1_SECTION_PASS_1.png</x:v>
      </x:c>
      <x:c r="H9" s="52" t="str">
        <x:v>X offset 0 mm</x:v>
      </x:c>
    </x:row>
    <x:row r="10">
      <x:c r="A10" s="52" t="str">
        <x:v>Round 1</x:v>
      </x:c>
      <x:c r="B10" s="52" t="str">
        <x:v>Fusion section</x:v>
      </x:c>
      <x:c r="C10" s="66" t="n">
        <x:v>2</x:v>
      </x:c>
      <x:c r="D10" s="66" t="n">
        <x:v>1</x:v>
      </x:c>
      <x:c r="E10" s="66" t="n">
        <x:v>0</x:v>
      </x:c>
      <x:c r="F10" s="70" t="str">
        <x:v>PASS</x:v>
      </x:c>
      <x:c r="G10" s="52" t="str">
        <x:v>Manual_3RPS_RevM1_A1_SECTION_PASS_2.png</x:v>
      </x:c>
      <x:c r="H10" s="52" t="str">
        <x:v>X offset 3 mm</x:v>
      </x:c>
    </x:row>
    <x:row r="11">
      <x:c r="A11" s="52" t="str">
        <x:v>Round 1</x:v>
      </x:c>
      <x:c r="B11" s="52" t="str">
        <x:v>Fusion section</x:v>
      </x:c>
      <x:c r="C11" s="66" t="n">
        <x:v>3</x:v>
      </x:c>
      <x:c r="D11" s="66" t="n">
        <x:v>1</x:v>
      </x:c>
      <x:c r="E11" s="66" t="n">
        <x:v>0</x:v>
      </x:c>
      <x:c r="F11" s="70" t="str">
        <x:v>PASS</x:v>
      </x:c>
      <x:c r="G11" s="52" t="str">
        <x:v>Manual_3RPS_RevM1_A1_SECTION_PASS_3.png</x:v>
      </x:c>
      <x:c r="H11" s="52" t="str">
        <x:v>X offset -3 mm</x:v>
      </x:c>
    </x:row>
    <x:row r="12">
      <x:c r="A12" s="52" t="str">
        <x:v>Round 1</x:v>
      </x:c>
      <x:c r="B12" s="52" t="str">
        <x:v>Independent STEP</x:v>
      </x:c>
      <x:c r="C12" s="66" t="n">
        <x:v>1</x:v>
      </x:c>
      <x:c r="D12" s="66" t="n">
        <x:v>253</x:v>
      </x:c>
      <x:c r="E12" s="66" t="n">
        <x:v>0</x:v>
      </x:c>
      <x:c r="F12" s="70" t="str">
        <x:v>PASS</x:v>
      </x:c>
      <x:c r="G12" s="52" t="str">
        <x:v>36 cross-group + 9 self-group reports</x:v>
      </x:c>
      <x:c r="H12" s="52" t="str">
        <x:v>700 x 700 x 300 mm</x:v>
      </x:c>
    </x:row>
    <x:row r="13">
      <x:c r="A13" s="52" t="str">
        <x:v>Round 1</x:v>
      </x:c>
      <x:c r="B13" s="52" t="str">
        <x:v>BOM-CAD mapping</x:v>
      </x:c>
      <x:c r="C13" s="66" t="n">
        <x:v>1</x:v>
      </x:c>
      <x:c r="D13" s="66" t="n">
        <x:v>129</x:v>
      </x:c>
      <x:c r="E13" s="66" t="n">
        <x:v>0</x:v>
      </x:c>
      <x:c r="F13" s="70" t="str">
        <x:v>PASS</x:v>
      </x:c>
      <x:c r="G13" s="52" t="str">
        <x:v>28 BOM rows / 129 native components</x:v>
      </x:c>
      <x:c r="H13" s="52" t="str">
        <x:v>129 covered</x:v>
      </x:c>
    </x:row>
    <x:row r="14">
      <x:c r="A14" s="52" t="str">
        <x:v>Round 1</x:v>
      </x:c>
      <x:c r="B14" s="52" t="str">
        <x:v>BOM-CAD mapping</x:v>
      </x:c>
      <x:c r="C14" s="66" t="n">
        <x:v>2</x:v>
      </x:c>
      <x:c r="D14" s="66" t="n">
        <x:v>129</x:v>
      </x:c>
      <x:c r="E14" s="66" t="n">
        <x:v>0</x:v>
      </x:c>
      <x:c r="F14" s="70" t="str">
        <x:v>PASS</x:v>
      </x:c>
      <x:c r="G14" s="52" t="str">
        <x:v>28 BOM rows / 129 native components</x:v>
      </x:c>
      <x:c r="H14" s="52" t="str">
        <x:v>129 covered</x:v>
      </x:c>
    </x:row>
    <x:row r="15">
      <x:c r="A15" s="52" t="str">
        <x:v>Round 1</x:v>
      </x:c>
      <x:c r="B15" s="52" t="str">
        <x:v>BOM-CAD mapping</x:v>
      </x:c>
      <x:c r="C15" s="66" t="n">
        <x:v>3</x:v>
      </x:c>
      <x:c r="D15" s="66" t="n">
        <x:v>129</x:v>
      </x:c>
      <x:c r="E15" s="66" t="n">
        <x:v>0</x:v>
      </x:c>
      <x:c r="F15" s="70" t="str">
        <x:v>PASS</x:v>
      </x:c>
      <x:c r="G15" s="52" t="str">
        <x:v>28 BOM rows / 129 native components</x:v>
      </x:c>
      <x:c r="H15" s="52" t="str">
        <x:v>129 covered</x:v>
      </x:c>
    </x:row>
    <x:row r="16">
      <x:c r="A16" s="52" t="str">
        <x:v>Round 2</x:v>
      </x:c>
      <x:c r="B16" s="52" t="str">
        <x:v>Fusion interference</x:v>
      </x:c>
      <x:c r="C16" s="66" t="n">
        <x:v>1</x:v>
      </x:c>
      <x:c r="D16" s="66" t="n">
        <x:v>129</x:v>
      </x:c>
      <x:c r="E16" s="66" t="n">
        <x:v>0</x:v>
      </x:c>
      <x:c r="F16" s="70" t="str">
        <x:v>PASS</x:v>
      </x:c>
      <x:c r="G16" s="52" t="str">
        <x:v>Design.analyzeInterference</x:v>
      </x:c>
      <x:c r="H16" s="52" t="str">
        <x:v>Coincident faces excluded</x:v>
      </x:c>
    </x:row>
    <x:row r="17">
      <x:c r="A17" s="52" t="str">
        <x:v>Round 2</x:v>
      </x:c>
      <x:c r="B17" s="52" t="str">
        <x:v>Fusion interference</x:v>
      </x:c>
      <x:c r="C17" s="66" t="n">
        <x:v>2</x:v>
      </x:c>
      <x:c r="D17" s="66" t="n">
        <x:v>129</x:v>
      </x:c>
      <x:c r="E17" s="66" t="n">
        <x:v>0</x:v>
      </x:c>
      <x:c r="F17" s="70" t="str">
        <x:v>PASS</x:v>
      </x:c>
      <x:c r="G17" s="52" t="str">
        <x:v>Design.analyzeInterference</x:v>
      </x:c>
      <x:c r="H17" s="52" t="str">
        <x:v>Coincident faces excluded</x:v>
      </x:c>
    </x:row>
    <x:row r="18">
      <x:c r="A18" s="52" t="str">
        <x:v>Round 2</x:v>
      </x:c>
      <x:c r="B18" s="52" t="str">
        <x:v>Fusion interference</x:v>
      </x:c>
      <x:c r="C18" s="66" t="n">
        <x:v>3</x:v>
      </x:c>
      <x:c r="D18" s="66" t="n">
        <x:v>129</x:v>
      </x:c>
      <x:c r="E18" s="66" t="n">
        <x:v>0</x:v>
      </x:c>
      <x:c r="F18" s="70" t="str">
        <x:v>PASS</x:v>
      </x:c>
      <x:c r="G18" s="52" t="str">
        <x:v>Design.analyzeInterference</x:v>
      </x:c>
      <x:c r="H18" s="52" t="str">
        <x:v>Coincident faces excluded</x:v>
      </x:c>
    </x:row>
    <x:row r="19">
      <x:c r="A19" s="52" t="str">
        <x:v>Round 2</x:v>
      </x:c>
      <x:c r="B19" s="52" t="str">
        <x:v>Fusion section</x:v>
      </x:c>
      <x:c r="C19" s="66" t="n">
        <x:v>1</x:v>
      </x:c>
      <x:c r="D19" s="66" t="n">
        <x:v>1</x:v>
      </x:c>
      <x:c r="E19" s="66" t="n">
        <x:v>0</x:v>
      </x:c>
      <x:c r="F19" s="70" t="str">
        <x:v>PASS</x:v>
      </x:c>
      <x:c r="G19" s="52" t="str">
        <x:v>Manual_3RPS_RevM1_A1_SECTION_PASS_1.png</x:v>
      </x:c>
      <x:c r="H19" s="52" t="str">
        <x:v>X offset 0 mm</x:v>
      </x:c>
    </x:row>
    <x:row r="20">
      <x:c r="A20" s="52" t="str">
        <x:v>Round 2</x:v>
      </x:c>
      <x:c r="B20" s="52" t="str">
        <x:v>Fusion section</x:v>
      </x:c>
      <x:c r="C20" s="66" t="n">
        <x:v>2</x:v>
      </x:c>
      <x:c r="D20" s="66" t="n">
        <x:v>1</x:v>
      </x:c>
      <x:c r="E20" s="66" t="n">
        <x:v>0</x:v>
      </x:c>
      <x:c r="F20" s="70" t="str">
        <x:v>PASS</x:v>
      </x:c>
      <x:c r="G20" s="52" t="str">
        <x:v>Manual_3RPS_RevM1_A1_SECTION_PASS_2.png</x:v>
      </x:c>
      <x:c r="H20" s="52" t="str">
        <x:v>X offset 3 mm</x:v>
      </x:c>
    </x:row>
    <x:row r="21">
      <x:c r="A21" s="52" t="str">
        <x:v>Round 2</x:v>
      </x:c>
      <x:c r="B21" s="52" t="str">
        <x:v>Fusion section</x:v>
      </x:c>
      <x:c r="C21" s="66" t="n">
        <x:v>3</x:v>
      </x:c>
      <x:c r="D21" s="66" t="n">
        <x:v>1</x:v>
      </x:c>
      <x:c r="E21" s="66" t="n">
        <x:v>0</x:v>
      </x:c>
      <x:c r="F21" s="70" t="str">
        <x:v>PASS</x:v>
      </x:c>
      <x:c r="G21" s="52" t="str">
        <x:v>Manual_3RPS_RevM1_A1_SECTION_PASS_3.png</x:v>
      </x:c>
      <x:c r="H21" s="52" t="str">
        <x:v>X offset -3 mm</x:v>
      </x:c>
    </x:row>
    <x:row r="22">
      <x:c r="A22" s="52" t="str">
        <x:v>Round 2</x:v>
      </x:c>
      <x:c r="B22" s="52" t="str">
        <x:v>Independent STEP</x:v>
      </x:c>
      <x:c r="C22" s="66" t="n">
        <x:v>1</x:v>
      </x:c>
      <x:c r="D22" s="66" t="n">
        <x:v>253</x:v>
      </x:c>
      <x:c r="E22" s="66" t="n">
        <x:v>0</x:v>
      </x:c>
      <x:c r="F22" s="70" t="str">
        <x:v>PASS</x:v>
      </x:c>
      <x:c r="G22" s="52" t="str">
        <x:v>36 cross-group + 9 self-group reports</x:v>
      </x:c>
      <x:c r="H22" s="52" t="str">
        <x:v>700 x 700 x 300 mm</x:v>
      </x:c>
    </x:row>
    <x:row r="23">
      <x:c r="A23" s="52" t="str">
        <x:v>Round 2</x:v>
      </x:c>
      <x:c r="B23" s="52" t="str">
        <x:v>BOM-CAD mapping</x:v>
      </x:c>
      <x:c r="C23" s="66" t="n">
        <x:v>1</x:v>
      </x:c>
      <x:c r="D23" s="66" t="n">
        <x:v>129</x:v>
      </x:c>
      <x:c r="E23" s="66" t="n">
        <x:v>0</x:v>
      </x:c>
      <x:c r="F23" s="70" t="str">
        <x:v>PASS</x:v>
      </x:c>
      <x:c r="G23" s="52" t="str">
        <x:v>28 BOM rows / 129 native components</x:v>
      </x:c>
      <x:c r="H23" s="52" t="str">
        <x:v>129 covered</x:v>
      </x:c>
    </x:row>
    <x:row r="24">
      <x:c r="A24" s="52" t="str">
        <x:v>Round 2</x:v>
      </x:c>
      <x:c r="B24" s="52" t="str">
        <x:v>BOM-CAD mapping</x:v>
      </x:c>
      <x:c r="C24" s="66" t="n">
        <x:v>2</x:v>
      </x:c>
      <x:c r="D24" s="66" t="n">
        <x:v>129</x:v>
      </x:c>
      <x:c r="E24" s="66" t="n">
        <x:v>0</x:v>
      </x:c>
      <x:c r="F24" s="70" t="str">
        <x:v>PASS</x:v>
      </x:c>
      <x:c r="G24" s="52" t="str">
        <x:v>28 BOM rows / 129 native components</x:v>
      </x:c>
      <x:c r="H24" s="52" t="str">
        <x:v>129 covered</x:v>
      </x:c>
    </x:row>
    <x:row r="25">
      <x:c r="A25" s="52" t="str">
        <x:v>Round 2</x:v>
      </x:c>
      <x:c r="B25" s="52" t="str">
        <x:v>BOM-CAD mapping</x:v>
      </x:c>
      <x:c r="C25" s="66" t="n">
        <x:v>3</x:v>
      </x:c>
      <x:c r="D25" s="66" t="n">
        <x:v>129</x:v>
      </x:c>
      <x:c r="E25" s="66" t="n">
        <x:v>0</x:v>
      </x:c>
      <x:c r="F25" s="70" t="str">
        <x:v>PASS</x:v>
      </x:c>
      <x:c r="G25" s="52" t="str">
        <x:v>28 BOM rows / 129 native components</x:v>
      </x:c>
      <x:c r="H25" s="52" t="str">
        <x:v>129 covered</x:v>
      </x:c>
    </x:row>
    <x:row r="28">
      <x:c r="A28" s="26" t="str">
        <x:v>Engineering metrics</x:v>
      </x:c>
      <x:c r="B28" s="26"/>
      <x:c r="C28" s="26"/>
      <x:c r="D28" s="26"/>
      <x:c r="E28" s="26"/>
      <x:c r="F28" s="26"/>
      <x:c r="G28" s="26"/>
      <x:c r="H28" s="26"/>
    </x:row>
    <x:row r="29">
      <x:c r="A29" s="74" t="str">
        <x:v>Workspace poses</x:v>
      </x:c>
      <x:c r="B29" s="75" t="n">
        <x:v>27</x:v>
      </x:c>
      <x:c r="C29" s="27" t="str">
        <x:v>count</x:v>
      </x:c>
      <x:c r="D29" s="27" t="str">
        <x:v>27-point Z/pitch/roll sweep</x:v>
      </x:c>
    </x:row>
    <x:row r="30">
      <x:c r="A30" s="74" t="str">
        <x:v>Required pin length min</x:v>
      </x:c>
      <x:c r="B30" s="75" t="n">
        <x:v>219.14262334480387</x:v>
      </x:c>
      <x:c r="C30" s="27" t="str">
        <x:v>mm</x:v>
      </x:c>
      <x:c r="D30" s="27" t="str">
        <x:v>Workspace solver</x:v>
      </x:c>
    </x:row>
    <x:row r="31">
      <x:c r="A31" s="74" t="str">
        <x:v>Required pin length max</x:v>
      </x:c>
      <x:c r="B31" s="75" t="n">
        <x:v>279.6422944664515</x:v>
      </x:c>
      <x:c r="C31" s="27" t="str">
        <x:v>mm</x:v>
      </x:c>
      <x:c r="D31" s="27" t="str">
        <x:v>Workspace solver</x:v>
      </x:c>
    </x:row>
    <x:row r="32">
      <x:c r="A32" s="74" t="str">
        <x:v>Manual pin range</x:v>
      </x:c>
      <x:c r="B32" s="75" t="str">
        <x:v>213..303</x:v>
      </x:c>
      <x:c r="C32" s="27" t="str">
        <x:v>mm</x:v>
      </x:c>
      <x:c r="D32" s="27" t="str">
        <x:v>Six coarse holes plus fine thread</x:v>
      </x:c>
    </x:row>
    <x:row r="33">
      <x:c r="A33" s="74" t="str">
        <x:v>Max constraint residual</x:v>
      </x:c>
      <x:c r="B33" s="75" t="n">
        <x:v>6.536993168992922e-13</x:v>
      </x:c>
      <x:c r="C33" s="27" t="str">
        <x:v>mm</x:v>
      </x:c>
      <x:c r="D33" s="27" t="str">
        <x:v>Nonlinear 3-RPS closure</x:v>
      </x:c>
    </x:row>
    <x:row r="34">
      <x:c r="A34" s="74" t="str">
        <x:v>Coarse-hole diameter max</x:v>
      </x:c>
      <x:c r="B34" s="75" t="n">
        <x:v>8.1</x:v>
      </x:c>
      <x:c r="C34" s="27" t="str">
        <x:v>mm</x:v>
      </x:c>
      <x:c r="D34" s="27" t="str">
        <x:v>IMAO diameter8 +0.1/0</x:v>
      </x:c>
    </x:row>
    <x:row r="35">
      <x:c r="A35" s="74" t="str">
        <x:v>Collapsed envelope</x:v>
      </x:c>
      <x:c r="B35" s="75" t="str">
        <x:v>700 x 700 x 300</x:v>
      </x:c>
      <x:c r="C35" s="27" t="str">
        <x:v>mm</x:v>
      </x:c>
      <x:c r="D35" s="27" t="str">
        <x:v>Independent STEP bounds</x:v>
      </x:c>
    </x:row>
  </x:sheetData>
  <x:mergeCells>
    <x:mergeCell ref="A1:H1"/>
    <x:mergeCell ref="A2:H2"/>
    <x:mergeCell ref="A28:H2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64" hidden="0" customWidth="1"/>
    <x:col min="4" max="4" width="52" hidden="0" customWidth="1"/>
    <x:col min="5" max="5" width="20" hidden="0" customWidth="1"/>
    <x:col min="6" max="6" width="68" hidden="0" customWidth="1"/>
  </x:cols>
  <x:sheetData>
    <x:row r="1" ht="32" customHeight="1">
      <x:c r="A1" s="3" t="str">
        <x:v>Dimension and Procurement Source Register</x:v>
      </x:c>
      <x:c r="B1" s="3"/>
      <x:c r="C1" s="3"/>
      <x:c r="D1" s="3"/>
      <x:c r="E1" s="3"/>
      <x:c r="F1" s="3"/>
    </x:row>
    <x:row r="2" ht="34" customHeight="1">
      <x:c r="A2" s="7" t="str">
        <x:v>Technical dimensions use official catalogs or saved product detail images. Retail prices and availability must be reconfirmed at checkout or quotation.</x:v>
      </x:c>
      <x:c r="B2" s="7"/>
      <x:c r="C2" s="7"/>
      <x:c r="D2" s="7"/>
      <x:c r="E2" s="7"/>
      <x:c r="F2" s="7"/>
    </x:row>
    <x:row r="5" ht="30" customHeight="1">
      <x:c r="A5" s="43" t="str">
        <x:v>Part/source</x:v>
      </x:c>
      <x:c r="B5" s="44" t="str">
        <x:v>Source type</x:v>
      </x:c>
      <x:c r="C5" s="44" t="str">
        <x:v>Saved evidence</x:v>
      </x:c>
      <x:c r="D5" s="44" t="str">
        <x:v>Used for</x:v>
      </x:c>
      <x:c r="E5" s="44" t="str">
        <x:v>Role</x:v>
      </x:c>
      <x:c r="F5" s="45" t="str">
        <x:v>URL</x:v>
      </x:c>
    </x:row>
    <x:row r="6">
      <x:c r="A6" s="51" t="str">
        <x:v>THK PHS10</x:v>
      </x:c>
      <x:c r="B6" s="51" t="str">
        <x:v>Official catalog PDF</x:v>
      </x:c>
      <x:c r="C6" s="51" t="str">
        <x:v>web_research/evidence/2026-09-01/manual_rev_m1/THK_PHS_catalog_en_a23_006.pdf</x:v>
      </x:c>
      <x:c r="D6" s="51" t="str">
        <x:v>Bore, OD, width, thread, capacity, articulation</x:v>
      </x:c>
      <x:c r="E6" s="51" t="str">
        <x:v>TECHNICAL BASIS</x:v>
      </x:c>
      <x:c r="F6" s="51" t="str">
        <x:v>https://www.thk.com/</x:v>
      </x:c>
    </x:row>
    <x:row r="7">
      <x:c r="A7" s="52" t="str">
        <x:v>IMAO BJ775-08040-SUS</x:v>
      </x:c>
      <x:c r="B7" s="52" t="str">
        <x:v>Official product PDF/CAD listing</x:v>
      </x:c>
      <x:c r="C7" s="52" t="str">
        <x:v>web_research/evidence/2026-09-01/manual_rev_m1/IMAO_BJ775_SUS.pdf</x:v>
      </x:c>
      <x:c r="D7" s="52" t="str">
        <x:v>Pin diameter, grip, hole tolerance, material</x:v>
      </x:c>
      <x:c r="E7" s="52" t="str">
        <x:v>TECHNICAL BASIS</x:v>
      </x:c>
      <x:c r="F7" s="52" t="str">
        <x:v>https://www.imao.com/catalog/en/categoryviews/?category=%24900337&amp;categorycode=%24WHSSAP%2C%24whs&amp;page=1</x:v>
      </x:c>
    </x:row>
    <x:row r="8">
      <x:c r="A8" s="52" t="str">
        <x:v>igus JFM-2528-21</x:v>
      </x:c>
      <x:c r="B8" s="52" t="str">
        <x:v>Official catalog PDF</x:v>
      </x:c>
      <x:c r="C8" s="52" t="str">
        <x:v>web_research/evidence/2026-09-01/manual_rev_m1/IGUS_JFM_catalog.pdf</x:v>
      </x:c>
      <x:c r="D8" s="52" t="str">
        <x:v>Bearing and housing/shaft tolerances</x:v>
      </x:c>
      <x:c r="E8" s="52" t="str">
        <x:v>TECHNICAL BASIS</x:v>
      </x:c>
      <x:c r="F8" s="52" t="str">
        <x:v>https://www.igus.com/</x:v>
      </x:c>
    </x:row>
    <x:row r="9">
      <x:c r="A9" s="52" t="str">
        <x:v>DNF4040 / DNF3030</x:v>
      </x:c>
      <x:c r="B9" s="52" t="str">
        <x:v>NAVIMRO saved detail images</x:v>
      </x:c>
      <x:c r="C9" s="52" t="str">
        <x:v>web_research/evidence/2026-08-31/</x:v>
      </x:c>
      <x:c r="D9" s="52" t="str">
        <x:v>Profile envelope, slots, center bores</x:v>
      </x:c>
      <x:c r="E9" s="52" t="str">
        <x:v>TECHNICAL + BUY</x:v>
      </x:c>
      <x:c r="F9" s="52" t="str">
        <x:v>https://www.navimro.com/</x:v>
      </x:c>
    </x:row>
    <x:row r="10">
      <x:c r="A10" s="52" t="str">
        <x:v>4035 / DCB3025</x:v>
      </x:c>
      <x:c r="B10" s="52" t="str">
        <x:v>NAVIMRO saved detail images</x:v>
      </x:c>
      <x:c r="C10" s="52" t="str">
        <x:v>web_research/evidence/2026-08-31/</x:v>
      </x:c>
      <x:c r="D10" s="52" t="str">
        <x:v>Bracket envelopes and holes/slots</x:v>
      </x:c>
      <x:c r="E10" s="52" t="str">
        <x:v>TECHNICAL + BUY</x:v>
      </x:c>
      <x:c r="F10" s="52" t="str">
        <x:v>https://www.navimro.com/</x:v>
      </x:c>
    </x:row>
    <x:row r="11">
      <x:c r="A11" s="52" t="str">
        <x:v>JFM-2528-21 price</x:v>
      </x:c>
      <x:c r="B11" s="52" t="str">
        <x:v>DeviceMart product page</x:v>
      </x:c>
      <x:c r="C11" s="52" t="str">
        <x:v>Product 10896543</x:v>
      </x:c>
      <x:c r="D11" s="52" t="str">
        <x:v>VAT-included price and lead-time note</x:v>
      </x:c>
      <x:c r="E11" s="52" t="str">
        <x:v>BUY</x:v>
      </x:c>
      <x:c r="F11" s="52" t="str">
        <x:v>https://www.devicemart.co.kr/goods/view?no=10896543</x:v>
      </x:c>
    </x:row>
    <x:row r="12">
      <x:c r="A12" s="52" t="str">
        <x:v>PHS10 price</x:v>
      </x:c>
      <x:c r="B12" s="52" t="str">
        <x:v>SL System product category</x:v>
      </x:c>
      <x:c r="C12" s="52" t="str">
        <x:v>PHS10 RH</x:v>
      </x:c>
      <x:c r="D12" s="52" t="str">
        <x:v>Indexed retail price</x:v>
      </x:c>
      <x:c r="E12" s="52" t="str">
        <x:v>BUY</x:v>
      </x:c>
      <x:c r="F12" s="52" t="str">
        <x:v>https://myslmall.com/category/PHS/146/</x:v>
      </x:c>
    </x:row>
    <x:row r="13">
      <x:c r="A13" s="52" t="str">
        <x:v>NAVIMRO items</x:v>
      </x:c>
      <x:c r="B13" s="52" t="str">
        <x:v>2026-09-01 candidate BOM</x:v>
      </x:c>
      <x:c r="C13" s="52" t="str">
        <x:v>procurement/profile_radial_revd_navimro_candidate_bom_2026-09-01.csv</x:v>
      </x:c>
      <x:c r="D13" s="52" t="str">
        <x:v>Codes and VAT-included screen prices</x:v>
      </x:c>
      <x:c r="E13" s="52" t="str">
        <x:v>BUY</x:v>
      </x:c>
      <x:c r="F13" s="52" t="str">
        <x:v>https://www.navimro.com/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675f220c35d4efb"/>
  </x:tableParts>
</x:worksheet>
</file>