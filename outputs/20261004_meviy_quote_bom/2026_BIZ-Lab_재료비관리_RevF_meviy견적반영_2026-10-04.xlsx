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df8a47f96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ded7bdc8e6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원&quot;"/>
  </x:numFmts>
  <x:fonts count="6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b/>
      <x:sz val="10"/>
      <x:name val="Malgun Gothic"/>
    </x:font>
    <x:font>
      <x:b/>
      <x:sz val="10"/>
      <x:color rgb="FFFFFFFF"/>
      <x:name val="Malgun Gothic"/>
    </x:font>
    <x:font>
      <x:b/>
      <x:sz val="10"/>
      <x:color rgb="FF7F6000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5F9FC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6" borderId="1" xfId="0" applyNumberFormat="1" applyFont="1" applyFill="1" applyBorder="1" applyAlignment="1">
      <x:alignment vertical="top" wrapText="1"/>
    </x:xf>
    <x:xf numFmtId="200" fontId="5" fillId="7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wrapText="1"/>
    </x:xf>
    <x:xf numFmtId="200" fontId="3" fillId="3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1" fillId="7" borderId="1" xfId="0" applyNumberFormat="1" applyFont="1" applyFill="1" applyBorder="1" applyAlignment="1">
      <x:alignment horizontal="center" vertical="top" wrapText="1"/>
    </x:xf>
    <x:xf numFmtId="200" fontId="1" fillId="0" borderId="1" xfId="0" applyNumberFormat="1" applyFont="1" applyFill="1" applyBorder="1" applyAlignment="1">
      <x:alignment horizontal="right" vertical="top" wrapText="1"/>
    </x:xf>
    <x:xf numFmtId="200" fontId="1" fillId="6" borderId="1" xfId="0" applyNumberFormat="1" applyFont="1" applyFill="1" applyBorder="1" applyAlignment="1">
      <x:alignment horizontal="right" vertical="top" wrapText="1"/>
    </x:xf>
    <x:xf numFmtId="200" fontId="5" fillId="7" borderId="1" xfId="0" applyNumberFormat="1" applyFont="1" applyFill="1" applyBorder="1" applyAlignment="1">
      <x:alignment horizontal="right" vertical="top" wrapText="1"/>
    </x:xf>
    <x:xf numFmtId="200" fontId="3" fillId="5" borderId="1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573e7680c4eaf" /><Relationship Type="http://schemas.openxmlformats.org/officeDocument/2006/relationships/theme" Target="/xl/theme/theme1.xml" Id="R22431744b1754641" /><Relationship Type="http://schemas.openxmlformats.org/officeDocument/2006/relationships/sharedStrings" Target="/xl/sharedStrings.xml" Id="R484f24f41ab843be" /><Relationship Type="http://schemas.openxmlformats.org/officeDocument/2006/relationships/worksheet" Target="/xl/worksheets/sheet1.xml" Id="R7eded7bdc8e64b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2" max="2" width="14" hidden="0" customWidth="1"/>
    <x:col min="3" max="3" width="22" hidden="0" customWidth="1"/>
    <x:col min="4" max="4" width="31" hidden="0" customWidth="1"/>
    <x:col min="5" max="5" width="31" hidden="0" customWidth="1"/>
    <x:col min="6" max="6" width="8" hidden="0" customWidth="1"/>
    <x:col min="7" max="7" width="48" hidden="0" customWidth="1"/>
    <x:col min="8" max="8" width="18" hidden="0" customWidth="1"/>
    <x:col min="9" max="9" width="68" hidden="0" customWidth="1"/>
  </x:cols>
  <x:sheetData>
    <x:row r="1" ht="30" customHeight="1">
      <x:c r="B1" s="5" t="str">
        <x:v>Rev F 수평유지장치 구매 BOM (meviy 견적 반영, 2026-10-04)</x:v>
      </x:c>
      <x:c r="C1" s="5"/>
      <x:c r="D1" s="5"/>
      <x:c r="E1" s="5"/>
      <x:c r="F1" s="5"/>
      <x:c r="G1" s="5"/>
      <x:c r="H1" s="5"/>
      <x:c r="I1" s="5"/>
    </x:row>
    <x:row r="2" ht="24" customHeight="1">
      <x:c r="B2" s="7" t="str">
        <x:v>2026 BIZ-Lab 창업클럽 시제품지원 프로그램 지출계획</x:v>
      </x:c>
      <x:c r="C2" s="7"/>
      <x:c r="D2" s="7"/>
      <x:c r="E2" s="7"/>
      <x:c r="F2" s="7"/>
      <x:c r="G2" s="7" t="str">
        <x:v>meviy 가공품·PHS6 장바구니 확인 / 기타 종전 BOM 가격</x:v>
      </x:c>
      <x:c r="H2" s="7" t="str">
        <x:v>지원금</x:v>
      </x:c>
      <x:c r="I2" s="28" t="n">
        <x:v>4000000</x:v>
      </x:c>
    </x:row>
    <x:row r="3" ht="32" customHeight="1">
      <x:c r="B3" s="18" t="str">
        <x:v>지출방법</x:v>
      </x:c>
      <x:c r="C3" s="18" t="str">
        <x:v>업체명</x:v>
      </x:c>
      <x:c r="D3" s="18" t="str">
        <x:v>제품명</x:v>
      </x:c>
      <x:c r="E3" s="18" t="str">
        <x:v>모델명</x:v>
      </x:c>
      <x:c r="F3" s="18" t="str">
        <x:v>수량</x:v>
      </x:c>
      <x:c r="G3" s="18" t="str">
        <x:v>링크</x:v>
      </x:c>
      <x:c r="H3" s="18" t="str">
        <x:v>총 가격 (공급가액)</x:v>
      </x:c>
      <x:c r="I3" s="18" t="str">
        <x:v>비고</x:v>
      </x:c>
    </x:row>
    <x:row r="4" ht="42" customHeight="1">
      <x:c r="B4" s="19" t="str">
        <x:v>재료비 구매</x:v>
      </x:c>
      <x:c r="C4" s="19" t="str">
        <x:v>나비엠알오</x:v>
      </x:c>
      <x:c r="D4" s="19" t="str">
        <x:v>하부 4040 프로파일 700 mm</x:v>
      </x:c>
      <x:c r="E4" s="19" t="str">
        <x:v>K92787708</x:v>
      </x:c>
      <x:c r="F4" s="29" t="n">
        <x:v>2</x:v>
      </x:c>
      <x:c r="G4" s="19" t="str">
        <x:v>https://www.navimro.com/p/K92787708/</x:v>
      </x:c>
      <x:c r="H4" s="32" t="n">
        <x:v>39980</x:v>
      </x:c>
      <x:c r="I4" s="19" t="str">
        <x:v>S01. 하부 프레임 장변. 공장 절단품.</x:v>
      </x:c>
    </x:row>
    <x:row r="5" ht="42" customHeight="1">
      <x:c r="B5" s="19" t="str">
        <x:v>재료비 구매</x:v>
      </x:c>
      <x:c r="C5" s="19" t="str">
        <x:v>나비엠알오</x:v>
      </x:c>
      <x:c r="D5" s="19" t="str">
        <x:v>하부 4040 프로파일 620 mm</x:v>
      </x:c>
      <x:c r="E5" s="19" t="str">
        <x:v>K92787705</x:v>
      </x:c>
      <x:c r="F5" s="29" t="n">
        <x:v>4</x:v>
      </x:c>
      <x:c r="G5" s="19" t="str">
        <x:v>https://www.navimro.com/p/K92787705/</x:v>
      </x:c>
      <x:c r="H5" s="32" t="n">
        <x:v>71960</x:v>
      </x:c>
      <x:c r="I5" s="19" t="str">
        <x:v>S02. 하부 프레임 단변·가로대. 공장 절단품.</x:v>
      </x:c>
    </x:row>
    <x:row r="6" ht="42" customHeight="1">
      <x:c r="B6" s="19" t="str">
        <x:v>재료비 구매</x:v>
      </x:c>
      <x:c r="C6" s="19" t="str">
        <x:v>나비엠알오</x:v>
      </x:c>
      <x:c r="D6" s="19" t="str">
        <x:v>40시리즈 직각 브래킷</x:v>
      </x:c>
      <x:c r="E6" s="19" t="str">
        <x:v>K92782553</x:v>
      </x:c>
      <x:c r="F6" s="29" t="n">
        <x:v>8</x:v>
      </x:c>
      <x:c r="G6" s="19" t="str">
        <x:v>https://www.navimro.com/p/K92782553/</x:v>
      </x:c>
      <x:c r="H6" s="32" t="n">
        <x:v>6640</x:v>
      </x:c>
      <x:c r="I6" s="19" t="str">
        <x:v>S05. 하부 프레임 코너 체결.</x:v>
      </x:c>
    </x:row>
    <x:row r="7" ht="42" customHeight="1">
      <x:c r="B7" s="19" t="str">
        <x:v>재료비 구매</x:v>
      </x:c>
      <x:c r="C7" s="19" t="str">
        <x:v>나비엠알오</x:v>
      </x:c>
      <x:c r="D7" s="19" t="str">
        <x:v>M8×16 육각렌치볼트</x:v>
      </x:c>
      <x:c r="E7" s="19" t="str">
        <x:v>K53536280</x:v>
      </x:c>
      <x:c r="F7" s="29" t="n">
        <x:v>1</x:v>
      </x:c>
      <x:c r="G7" s="19" t="str">
        <x:v>https://www.navimro.com/p/K53536280/</x:v>
      </x:c>
      <x:c r="H7" s="32" t="n">
        <x:v>6890</x:v>
      </x:c>
      <x:c r="I7" s="19" t="str">
        <x:v>F01. 하부 프레임 브래킷 체결용 포장.</x:v>
      </x:c>
    </x:row>
    <x:row r="8" ht="42" customHeight="1">
      <x:c r="B8" s="19" t="str">
        <x:v>재료비 구매</x:v>
      </x:c>
      <x:c r="C8" s="19" t="str">
        <x:v>나비엠알오</x:v>
      </x:c>
      <x:c r="D8" s="19" t="str">
        <x:v>M8×20 육각렌치볼트</x:v>
      </x:c>
      <x:c r="E8" s="19" t="str">
        <x:v>K53536553</x:v>
      </x:c>
      <x:c r="F8" s="29" t="n">
        <x:v>1</x:v>
      </x:c>
      <x:c r="G8" s="19" t="str">
        <x:v>https://www.navimro.com/p/K53536553/</x:v>
      </x:c>
      <x:c r="H8" s="32" t="n">
        <x:v>6690</x:v>
      </x:c>
      <x:c r="I8" s="19" t="str">
        <x:v>F03. 하부 어댑터판의 Ø9 홀을 통해 프로파일 너트에 체결.</x:v>
      </x:c>
    </x:row>
    <x:row r="9" ht="42" customHeight="1">
      <x:c r="B9" s="19" t="str">
        <x:v>재료비 구매</x:v>
      </x:c>
      <x:c r="C9" s="19" t="str">
        <x:v>나비엠알오</x:v>
      </x:c>
      <x:c r="D9" s="19" t="str">
        <x:v>M8 평와셔</x:v>
      </x:c>
      <x:c r="E9" s="19" t="str">
        <x:v>K06130485</x:v>
      </x:c>
      <x:c r="F9" s="29" t="n">
        <x:v>1</x:v>
      </x:c>
      <x:c r="G9" s="19" t="str">
        <x:v>https://www.navimro.com/p/K06130485/</x:v>
      </x:c>
      <x:c r="H9" s="32" t="n">
        <x:v>4590</x:v>
      </x:c>
      <x:c r="I9" s="19" t="str">
        <x:v>F04. LMB-10 높이 보정 및 하부 판 체결용.</x:v>
      </x:c>
    </x:row>
    <x:row r="10" ht="42" customHeight="1">
      <x:c r="B10" s="19" t="str">
        <x:v>재료비 구매</x:v>
      </x:c>
      <x:c r="C10" s="19" t="str">
        <x:v>나비엠알오</x:v>
      </x:c>
      <x:c r="D10" s="19" t="str">
        <x:v>LMB-10 하부 M8×12 육각볼트</x:v>
      </x:c>
      <x:c r="E10" s="19" t="str">
        <x:v>K15696523 / M8×12</x:v>
      </x:c>
      <x:c r="F10" s="29" t="n">
        <x:v>6</x:v>
      </x:c>
      <x:c r="G10" s="19" t="str">
        <x:v>https://www.navimro.com/p/K15696523/</x:v>
      </x:c>
      <x:c r="H10" s="32" t="n">
        <x:v>3000</x:v>
      </x:c>
      <x:c r="I10" s="19" t="str">
        <x:v>F05. 축당 2개. 8 mm 판의 M8 탭에 체결.</x:v>
      </x:c>
    </x:row>
    <x:row r="11" ht="42" customHeight="1">
      <x:c r="B11" s="19" t="str">
        <x:v>재료비 구매</x:v>
      </x:c>
      <x:c r="C11" s="19" t="str">
        <x:v>나비엠알오</x:v>
      </x:c>
      <x:c r="D11" s="19" t="str">
        <x:v>40시리즈 M8 스프링너트</x:v>
      </x:c>
      <x:c r="E11" s="19" t="str">
        <x:v>K14671419</x:v>
      </x:c>
      <x:c r="F11" s="29" t="n">
        <x:v>1</x:v>
      </x:c>
      <x:c r="G11" s="19" t="str">
        <x:v>https://www.navimro.com/p/K14671419/</x:v>
      </x:c>
      <x:c r="H11" s="32" t="n">
        <x:v>22990</x:v>
      </x:c>
      <x:c r="I11" s="19" t="str">
        <x:v>F06. 하부 프로파일 및 A1~A3 판 체결용 포장.</x:v>
      </x:c>
    </x:row>
    <x:row r="12" ht="42" customHeight="1">
      <x:c r="B12" s="19" t="str">
        <x:v>재료비 구매</x:v>
      </x:c>
      <x:c r="C12" s="19" t="str">
        <x:v>나비엠알오</x:v>
      </x:c>
      <x:c r="D12" s="19" t="str">
        <x:v>중강도 나사고정제</x:v>
      </x:c>
      <x:c r="E12" s="19" t="str">
        <x:v>K64647607</x:v>
      </x:c>
      <x:c r="F12" s="29" t="n">
        <x:v>1</x:v>
      </x:c>
      <x:c r="G12" s="19" t="str">
        <x:v>https://www.navimro.com/p/K64647607/</x:v>
      </x:c>
      <x:c r="H12" s="32" t="n">
        <x:v>8990</x:v>
      </x:c>
      <x:c r="I12" s="19" t="str">
        <x:v>F17. CBS6-12와 PHS6 암나사 체결부에 소량 사용.</x:v>
      </x:c>
    </x:row>
    <x:row r="13" ht="42" customHeight="1">
      <x:c r="B13" s="19" t="str">
        <x:v>재료비 구매</x:v>
      </x:c>
      <x:c r="C13" s="19" t="str">
        <x:v>나비엠알오</x:v>
      </x:c>
      <x:c r="D13" s="19" t="str">
        <x:v>M4×25 더블샘스볼트</x:v>
      </x:c>
      <x:c r="E13" s="19" t="str">
        <x:v>K14364804</x:v>
      </x:c>
      <x:c r="F13" s="29" t="n">
        <x:v>1</x:v>
      </x:c>
      <x:c r="G13" s="19" t="str">
        <x:v>https://www.navimro.com/p/K14364804/</x:v>
      </x:c>
      <x:c r="H13" s="32" t="n">
        <x:v>16490</x:v>
      </x:c>
      <x:c r="I13" s="19" t="str">
        <x:v>F18. 플라스틱 속판 관통 고정용. RSP 본체 탭에는 사용하지 않음.</x:v>
      </x:c>
    </x:row>
    <x:row r="14" ht="42" customHeight="1">
      <x:c r="B14" s="19" t="str">
        <x:v>재료비 구매</x:v>
      </x:c>
      <x:c r="C14" s="19" t="str">
        <x:v>나비엠알오</x:v>
      </x:c>
      <x:c r="D14" s="19" t="str">
        <x:v>M4 육각너트</x:v>
      </x:c>
      <x:c r="E14" s="19" t="str">
        <x:v>K06130054</x:v>
      </x:c>
      <x:c r="F14" s="29" t="n">
        <x:v>1</x:v>
      </x:c>
      <x:c r="G14" s="19" t="str">
        <x:v>https://www.navimro.com/p/K06130054/</x:v>
      </x:c>
      <x:c r="H14" s="32" t="n">
        <x:v>1390</x:v>
      </x:c>
      <x:c r="I14" s="19" t="str">
        <x:v>F19. 속판 관통 고정용.</x:v>
      </x:c>
    </x:row>
    <x:row r="15" ht="42" customHeight="1">
      <x:c r="B15" s="19" t="str">
        <x:v>재료비 구매</x:v>
      </x:c>
      <x:c r="C15" s="19" t="str">
        <x:v>나비엠알오</x:v>
      </x:c>
      <x:c r="D15" s="19" t="str">
        <x:v>ABS 전장함</x:v>
      </x:c>
      <x:c r="E15" s="19" t="str">
        <x:v>BC-AGP-507025 / K25262371</x:v>
      </x:c>
      <x:c r="F15" s="29" t="n">
        <x:v>1</x:v>
      </x:c>
      <x:c r="G15" s="19" t="str">
        <x:v>https://www.navimro.com/p/K25262371/</x:v>
      </x:c>
      <x:c r="H15" s="32" t="n">
        <x:v>109990</x:v>
      </x:c>
      <x:c r="I15" s="19" t="str">
        <x:v>E06A. 530×730×255 mm급. 플라스틱 타공만 현장 수행.</x:v>
      </x:c>
    </x:row>
    <x:row r="16" ht="42" customHeight="1">
      <x:c r="B16" s="19" t="str">
        <x:v>재료비 구매</x:v>
      </x:c>
      <x:c r="C16" s="19" t="str">
        <x:v>나비엠알오</x:v>
      </x:c>
      <x:c r="D16" s="19" t="str">
        <x:v>전장함 플라스틱 속판</x:v>
      </x:c>
      <x:c r="E16" s="19" t="str">
        <x:v>5070P / K25264419</x:v>
      </x:c>
      <x:c r="F16" s="29" t="n">
        <x:v>1</x:v>
      </x:c>
      <x:c r="G16" s="19" t="str">
        <x:v>https://www.navimro.com/p/K25264419/</x:v>
      </x:c>
      <x:c r="H16" s="32" t="n">
        <x:v>18139</x:v>
      </x:c>
      <x:c r="I16" s="19" t="str">
        <x:v>E06B. 전장부품·DIN 레일 장착판.</x:v>
      </x:c>
    </x:row>
    <x:row r="17" ht="42" customHeight="1">
      <x:c r="B17" s="19" t="str">
        <x:v>재료비 구매</x:v>
      </x:c>
      <x:c r="C17" s="19" t="str">
        <x:v>나비엠알오</x:v>
      </x:c>
      <x:c r="D17" s="19" t="str">
        <x:v>접지 전원코드</x:v>
      </x:c>
      <x:c r="E17" s="19" t="str">
        <x:v>K08345728</x:v>
      </x:c>
      <x:c r="F17" s="29" t="n">
        <x:v>1</x:v>
      </x:c>
      <x:c r="G17" s="19" t="str">
        <x:v>https://www.navimro.com/p/K08345728/</x:v>
      </x:c>
      <x:c r="H17" s="32" t="n">
        <x:v>3990</x:v>
      </x:c>
      <x:c r="I17" s="19" t="str">
        <x:v>E07. AC 입력용. PE는 RSP FG에 연결.</x:v>
      </x:c>
    </x:row>
    <x:row r="18" ht="42" customHeight="1">
      <x:c r="B18" s="19" t="str">
        <x:v>재료비 구매</x:v>
      </x:c>
      <x:c r="C18" s="19" t="str">
        <x:v>나비엠알오</x:v>
      </x:c>
      <x:c r="D18" s="19" t="str">
        <x:v>24AWG 제어전선 세트</x:v>
      </x:c>
      <x:c r="E18" s="19" t="str">
        <x:v>K92843703</x:v>
      </x:c>
      <x:c r="F18" s="29" t="n">
        <x:v>1</x:v>
      </x:c>
      <x:c r="G18" s="19" t="str">
        <x:v>https://www.navimro.com/p/K92843703/</x:v>
      </x:c>
      <x:c r="H18" s="32" t="n">
        <x:v>30990</x:v>
      </x:c>
      <x:c r="I18" s="19" t="str">
        <x:v>E16. 버튼·접촉기 코일·저전류 제어배선.</x:v>
      </x:c>
    </x:row>
    <x:row r="19" ht="42" customHeight="1">
      <x:c r="B19" s="19" t="str">
        <x:v>재료비 구매</x:v>
      </x:c>
      <x:c r="C19" s="19" t="str">
        <x:v>나비엠알오</x:v>
      </x:c>
      <x:c r="D19" s="19" t="str">
        <x:v>열수축튜브 키트</x:v>
      </x:c>
      <x:c r="E19" s="19" t="str">
        <x:v>K52569152</x:v>
      </x:c>
      <x:c r="F19" s="29" t="n">
        <x:v>1</x:v>
      </x:c>
      <x:c r="G19" s="19" t="str">
        <x:v>https://www.navimro.com/p/K52569152/</x:v>
      </x:c>
      <x:c r="H19" s="32" t="n">
        <x:v>10990</x:v>
      </x:c>
      <x:c r="I19" s="19" t="str">
        <x:v>E17. 절연 및 표식 보강.</x:v>
      </x:c>
    </x:row>
    <x:row r="20" ht="42" customHeight="1">
      <x:c r="B20" s="19" t="str">
        <x:v>재료비 구매</x:v>
      </x:c>
      <x:c r="C20" s="19" t="str">
        <x:v>나비엠알오</x:v>
      </x:c>
      <x:c r="D20" s="19" t="str">
        <x:v>케이블 글랜드 세트</x:v>
      </x:c>
      <x:c r="E20" s="19" t="str">
        <x:v>K22571959</x:v>
      </x:c>
      <x:c r="F20" s="29" t="n">
        <x:v>1</x:v>
      </x:c>
      <x:c r="G20" s="19" t="str">
        <x:v>https://www.navimro.com/p/K22571959/</x:v>
      </x:c>
      <x:c r="H20" s="32" t="n">
        <x:v>6290</x:v>
      </x:c>
      <x:c r="I20" s="19" t="str">
        <x:v>E18. 전장함 하부 케이블 인입.</x:v>
      </x:c>
    </x:row>
    <x:row r="21" ht="42" customHeight="1">
      <x:c r="B21" s="19" t="str">
        <x:v>재료비 구매</x:v>
      </x:c>
      <x:c r="C21" s="19" t="str">
        <x:v>나비엠알오</x:v>
      </x:c>
      <x:c r="D21" s="19" t="str">
        <x:v>페룰 및 압착 키트</x:v>
      </x:c>
      <x:c r="E21" s="19" t="str">
        <x:v>K92839991</x:v>
      </x:c>
      <x:c r="F21" s="29" t="n">
        <x:v>1</x:v>
      </x:c>
      <x:c r="G21" s="19" t="str">
        <x:v>https://www.navimro.com/p/K92839991/</x:v>
      </x:c>
      <x:c r="H21" s="32" t="n">
        <x:v>39990</x:v>
      </x:c>
      <x:c r="I21" s="19" t="str">
        <x:v>E19. 14AWG 이하 연선 종단.</x:v>
      </x:c>
    </x:row>
    <x:row r="22" ht="42" customHeight="1">
      <x:c r="B22" s="19" t="str">
        <x:v>재료비 구매</x:v>
      </x:c>
      <x:c r="C22" s="19" t="str">
        <x:v>나비엠알오</x:v>
      </x:c>
      <x:c r="D22" s="19" t="str">
        <x:v>케이블 타이</x:v>
      </x:c>
      <x:c r="E22" s="19" t="str">
        <x:v>K01415707</x:v>
      </x:c>
      <x:c r="F22" s="29" t="n">
        <x:v>1</x:v>
      </x:c>
      <x:c r="G22" s="19" t="str">
        <x:v>https://www.navimro.com/p/K01415707/</x:v>
      </x:c>
      <x:c r="H22" s="32" t="n">
        <x:v>15490</x:v>
      </x:c>
      <x:c r="I22" s="19" t="str">
        <x:v>E20. 배선 고정.</x:v>
      </x:c>
    </x:row>
    <x:row r="23" ht="42" customHeight="1">
      <x:c r="B23" s="19" t="str">
        <x:v>재료비 구매</x:v>
      </x:c>
      <x:c r="C23" s="19" t="str">
        <x:v>나비엠알오</x:v>
      </x:c>
      <x:c r="D23" s="19" t="str">
        <x:v>PVC 절연테이프</x:v>
      </x:c>
      <x:c r="E23" s="19" t="str">
        <x:v>K40799280</x:v>
      </x:c>
      <x:c r="F23" s="29" t="n">
        <x:v>3</x:v>
      </x:c>
      <x:c r="G23" s="19" t="str">
        <x:v>https://www.navimro.com/p/K40799280/</x:v>
      </x:c>
      <x:c r="H23" s="32" t="n">
        <x:v>1500</x:v>
      </x:c>
      <x:c r="I23" s="19" t="str">
        <x:v>E21. 색상 구분 및 임시 보강.</x:v>
      </x:c>
    </x:row>
    <x:row r="24" ht="42" customHeight="1">
      <x:c r="B24" s="19" t="str">
        <x:v>재료비 구매</x:v>
      </x:c>
      <x:c r="C24" s="19" t="str">
        <x:v>나비엠알오</x:v>
      </x:c>
      <x:c r="D24" s="19" t="str">
        <x:v>녹/황 보호접지선</x:v>
      </x:c>
      <x:c r="E24" s="19" t="str">
        <x:v>K55027039</x:v>
      </x:c>
      <x:c r="F24" s="29" t="n">
        <x:v>3</x:v>
      </x:c>
      <x:c r="G24" s="19" t="str">
        <x:v>https://www.navimro.com/p/K55027039/</x:v>
      </x:c>
      <x:c r="H24" s="32" t="n">
        <x:v>3870</x:v>
      </x:c>
      <x:c r="I24" s="19" t="str">
        <x:v>E23. RSP FG 및 도전성 장착부 접지.</x:v>
      </x:c>
    </x:row>
    <x:row r="25" ht="42" customHeight="1">
      <x:c r="B25" s="19" t="str">
        <x:v>재료비 구매</x:v>
      </x:c>
      <x:c r="C25" s="19" t="str">
        <x:v>나비엠알오</x:v>
      </x:c>
      <x:c r="D25" s="19" t="str">
        <x:v>DMC-200 축별 분기 케이블</x:v>
      </x:c>
      <x:c r="E25" s="19" t="str">
        <x:v>14 AWG 실리콘 전선 세트 / K92854706</x:v>
      </x:c>
      <x:c r="F25" s="29" t="n">
        <x:v>1</x:v>
      </x:c>
      <x:c r="G25" s="19" t="str">
        <x:v>https://www.navimro.com/p/K92854706/</x:v>
      </x:c>
      <x:c r="H25" s="32" t="n">
        <x:v>74990</x:v>
      </x:c>
      <x:c r="I25" s="19" t="str">
        <x:v>E15B. 6 A 전류제한 축 3개와 24 V 분기 배선.</x:v>
      </x:c>
    </x:row>
    <x:row r="26" ht="42" customHeight="1">
      <x:c r="B26" s="19" t="str">
        <x:v>재료비 구매</x:v>
      </x:c>
      <x:c r="C26" s="19" t="str">
        <x:v>나비엠알오</x:v>
      </x:c>
      <x:c r="D26" s="19" t="str">
        <x:v>주전원 케이블 적/흑</x:v>
      </x:c>
      <x:c r="E26" s="19" t="str">
        <x:v>KIV 4SQ, 각 2 m</x:v>
      </x:c>
      <x:c r="F26" s="29" t="n">
        <x:v>1</x:v>
      </x:c>
      <x:c r="G26" s="19" t="str">
        <x:v>https://www.navimro.com/s/?q=KIV%204SQ</x:v>
      </x:c>
      <x:c r="H26" s="32" t="n">
        <x:v>14000</x:v>
      </x:c>
      <x:c r="I26" s="19" t="str">
        <x:v>E15A. 20 A 주퓨즈 전후 및 공통 0 V. 실제 색상·미터단위 확인.</x:v>
      </x:c>
    </x:row>
    <x:row r="27" ht="42" customHeight="1">
      <x:c r="B27" s="19" t="str">
        <x:v>재료비 구매</x:v>
      </x:c>
      <x:c r="C27" s="19" t="str">
        <x:v>나비엠알오</x:v>
      </x:c>
      <x:c r="D27" s="19" t="str">
        <x:v>열수축 압착 슬리브</x:v>
      </x:c>
      <x:c r="E27" s="19" t="str">
        <x:v>3.5~5.5SQ</x:v>
      </x:c>
      <x:c r="F27" s="29" t="n">
        <x:v>1</x:v>
      </x:c>
      <x:c r="G27" s="19" t="str">
        <x:v>https://www.navimro.com/s/?q=열수축%20압착%20슬리브%205.5</x:v>
      </x:c>
      <x:c r="H27" s="32" t="n">
        <x:v>9000</x:v>
      </x:c>
      <x:c r="I27" s="19" t="str">
        <x:v>E24. 01550300Z 리드와 4SQ 케이블 연결용. 실제 리드 굵기에 맞춤.</x:v>
      </x:c>
    </x:row>
    <x:row r="28" ht="42" customHeight="1">
      <x:c r="B28" s="21" t="str">
        <x:v>재료비 구매</x:v>
      </x:c>
      <x:c r="C28" s="21" t="str">
        <x:v>디바이스마트</x:v>
      </x:c>
      <x:c r="D28" s="21" t="str">
        <x:v>24 V 주 전원공급기</x:v>
      </x:c>
      <x:c r="E28" s="21" t="str">
        <x:v>RSP-750-24 / 13232167</x:v>
      </x:c>
      <x:c r="F28" s="30" t="n">
        <x:v>1</x:v>
      </x:c>
      <x:c r="G28" s="21" t="str">
        <x:v>https://www.devicemart.co.kr/goods/view?no=13232167</x:v>
      </x:c>
      <x:c r="H28" s="33" t="n">
        <x:v>272300</x:v>
      </x:c>
      <x:c r="I28" s="21" t="str">
        <x:v>E04. 24 V, 31.3 A. 출력 전체가 아니라 20 A 주퓨즈 이후만 모터계통에 사용.</x:v>
      </x:c>
    </x:row>
    <x:row r="29" ht="42" customHeight="1">
      <x:c r="B29" s="21" t="str">
        <x:v>재료비 구매</x:v>
      </x:c>
      <x:c r="C29" s="21" t="str">
        <x:v>디바이스마트</x:v>
      </x:c>
      <x:c r="D29" s="21" t="str">
        <x:v>밀폐형 ATO 인라인 퓨즈홀더</x:v>
      </x:c>
      <x:c r="E29" s="21" t="str">
        <x:v>Littelfuse 01550300Z / 8994457</x:v>
      </x:c>
      <x:c r="F29" s="30" t="n">
        <x:v>5</x:v>
      </x:c>
      <x:c r="G29" s="21" t="str">
        <x:v>https://www.devicemart.co.kr/goods/view?no=8994457</x:v>
      </x:c>
      <x:c r="H29" s="33" t="n">
        <x:v>54900</x:v>
      </x:c>
      <x:c r="I29" s="21" t="str">
        <x:v>E09A. 32 VDC, 20 A. 주 1개·축 3개·제어 1개.</x:v>
      </x:c>
    </x:row>
    <x:row r="30" ht="42" customHeight="1">
      <x:c r="B30" s="21" t="str">
        <x:v>재료비 구매</x:v>
      </x:c>
      <x:c r="C30" s="21" t="str">
        <x:v>디바이스마트</x:v>
      </x:c>
      <x:c r="D30" s="21" t="str">
        <x:v>주전원 ATO 퓨즈 20 A</x:v>
      </x:c>
      <x:c r="E30" s="21" t="str">
        <x:v>AUTO-FUSE 32V 20A</x:v>
      </x:c>
      <x:c r="F30" s="30" t="n">
        <x:v>10</x:v>
      </x:c>
      <x:c r="G30" s="21" t="str">
        <x:v>https://www.devicemart.co.kr/s-1/c-3/?q=AUTO-FUSE%2020A</x:v>
      </x:c>
      <x:c r="H30" s="33" t="n">
        <x:v>1000</x:v>
      </x:c>
      <x:c r="I30" s="21" t="str">
        <x:v>E09M. 실제 사용 1개, 나머지 예비.</x:v>
      </x:c>
    </x:row>
    <x:row r="31" ht="42" customHeight="1">
      <x:c r="B31" s="21" t="str">
        <x:v>재료비 구매</x:v>
      </x:c>
      <x:c r="C31" s="21" t="str">
        <x:v>디바이스마트</x:v>
      </x:c>
      <x:c r="D31" s="21" t="str">
        <x:v>액추에이터 분기 ATO 퓨즈 10 A</x:v>
      </x:c>
      <x:c r="E31" s="21" t="str">
        <x:v>11510 / AUTO-FUSE 32V 10A</x:v>
      </x:c>
      <x:c r="F31" s="30" t="n">
        <x:v>10</x:v>
      </x:c>
      <x:c r="G31" s="21" t="str">
        <x:v>https://www.devicemart.co.kr/goods/view?no=11510</x:v>
      </x:c>
      <x:c r="H31" s="33" t="n">
        <x:v>1000</x:v>
      </x:c>
      <x:c r="I31" s="21" t="str">
        <x:v>E09B. 축당 1개. DMC-200 전류제한은 6.0 A로 시작.</x:v>
      </x:c>
    </x:row>
    <x:row r="32" ht="42" customHeight="1">
      <x:c r="B32" s="21" t="str">
        <x:v>재료비 구매</x:v>
      </x:c>
      <x:c r="C32" s="21" t="str">
        <x:v>디바이스마트</x:v>
      </x:c>
      <x:c r="D32" s="21" t="str">
        <x:v>제어전원 ATO 퓨즈 5 A</x:v>
      </x:c>
      <x:c r="E32" s="21" t="str">
        <x:v>11509 / AUTO-FUSE 32V 5A</x:v>
      </x:c>
      <x:c r="F32" s="30" t="n">
        <x:v>10</x:v>
      </x:c>
      <x:c r="G32" s="21" t="str">
        <x:v>https://www.devicemart.co.kr/goods/view?no=11509</x:v>
      </x:c>
      <x:c r="H32" s="33" t="n">
        <x:v>1000</x:v>
      </x:c>
      <x:c r="I32" s="21" t="str">
        <x:v>E09C. Portenta·DDR·접촉기 코일 제어분기.</x:v>
      </x:c>
    </x:row>
    <x:row r="33" ht="42" customHeight="1">
      <x:c r="B33" s="21" t="str">
        <x:v>재료비 구매</x:v>
      </x:c>
      <x:c r="C33" s="21" t="str">
        <x:v>디바이스마트</x:v>
      </x:c>
      <x:c r="D33" s="21" t="str">
        <x:v>비상정지 스위치</x:v>
      </x:c>
      <x:c r="E33" s="21" t="str">
        <x:v>KGE-C4R2R / 10895022</x:v>
      </x:c>
      <x:c r="F33" s="30" t="n">
        <x:v>1</x:v>
      </x:c>
      <x:c r="G33" s="21" t="str">
        <x:v>https://www.devicemart.co.kr/goods/view?no=10895022</x:v>
      </x:c>
      <x:c r="H33" s="33" t="n">
        <x:v>6600</x:v>
      </x:c>
      <x:c r="I33" s="21" t="str">
        <x:v>E10. NC 접점으로 Finder 코일만 차단. 모터전류 직접 차단 금지.</x:v>
      </x:c>
    </x:row>
    <x:row r="34" ht="42" customHeight="1">
      <x:c r="B34" s="21" t="str">
        <x:v>재료비 구매</x:v>
      </x:c>
      <x:c r="C34" s="21" t="str">
        <x:v>디바이스마트</x:v>
      </x:c>
      <x:c r="D34" s="21" t="str">
        <x:v>START 순간버튼 녹색</x:v>
      </x:c>
      <x:c r="E34" s="21" t="str">
        <x:v>KGF-CM1G / 10894246</x:v>
      </x:c>
      <x:c r="F34" s="30" t="n">
        <x:v>1</x:v>
      </x:c>
      <x:c r="G34" s="21" t="str">
        <x:v>https://www.devicemart.co.kr/goods/view?no=10894246</x:v>
      </x:c>
      <x:c r="H34" s="33" t="n">
        <x:v>4000</x:v>
      </x:c>
      <x:c r="I34" s="21" t="str">
        <x:v>E13. NO 접점. Finder 두 번째 NO와 병렬로 자기유지.</x:v>
      </x:c>
    </x:row>
    <x:row r="35" ht="42" customHeight="1">
      <x:c r="B35" s="21" t="str">
        <x:v>재료비 구매</x:v>
      </x:c>
      <x:c r="C35" s="21" t="str">
        <x:v>디바이스마트</x:v>
      </x:c>
      <x:c r="D35" s="21" t="str">
        <x:v>DIN 전원분배블록</x:v>
      </x:c>
      <x:c r="E35" s="21" t="str">
        <x:v>DKD35-P001 / 16043939</x:v>
      </x:c>
      <x:c r="F35" s="30" t="n">
        <x:v>2</x:v>
      </x:c>
      <x:c r="G35" s="21" t="str">
        <x:v>https://www.devicemart.co.kr/goods/view?no=16043939</x:v>
      </x:c>
      <x:c r="H35" s="33" t="n">
        <x:v>30400</x:v>
      </x:c>
      <x:c r="I35" s="21" t="str">
        <x:v>E14. 1개는 접촉기 이후 +24 V 모터분배, 1개는 공통 0 V.</x:v>
      </x:c>
    </x:row>
    <x:row r="36" ht="42" customHeight="1">
      <x:c r="B36" s="21" t="str">
        <x:v>재료비 구매</x:v>
      </x:c>
      <x:c r="C36" s="21" t="str">
        <x:v>디바이스마트</x:v>
      </x:c>
      <x:c r="D36" s="21" t="str">
        <x:v>DIN DC-DC 전원</x:v>
      </x:c>
      <x:c r="E36" s="21" t="str">
        <x:v>DDR-15G-12 / 11269545</x:v>
      </x:c>
      <x:c r="F36" s="30" t="n">
        <x:v>1</x:v>
      </x:c>
      <x:c r="G36" s="21" t="str">
        <x:v>https://www.devicemart.co.kr/goods/view?no=11269545</x:v>
      </x:c>
      <x:c r="H36" s="33" t="n">
        <x:v>31500</x:v>
      </x:c>
      <x:c r="I36" s="21" t="str">
        <x:v>E12. 24 V→12 V/1.25 A. ZMEC485DI와 HWT905 2대 전원.</x:v>
      </x:c>
    </x:row>
    <x:row r="37" ht="42" customHeight="1">
      <x:c r="B37" s="21" t="str">
        <x:v>재료비 구매</x:v>
      </x:c>
      <x:c r="C37" s="21" t="str">
        <x:v>디바이스마트</x:v>
      </x:c>
      <x:c r="D37" s="21" t="str">
        <x:v>2P 누전차단기</x:v>
      </x:c>
      <x:c r="E37" s="21" t="str">
        <x:v>LS EBE32FB 2P 10A 30mA / 15085668</x:v>
      </x:c>
      <x:c r="F37" s="30" t="n">
        <x:v>1</x:v>
      </x:c>
      <x:c r="G37" s="21" t="str">
        <x:v>https://www.devicemart.co.kr/goods/view?no=15085668</x:v>
      </x:c>
      <x:c r="H37" s="33" t="n">
        <x:v>30000</x:v>
      </x:c>
      <x:c r="I37" s="21" t="str">
        <x:v>E08. RSP AC 입력 전단. 실제 판매가·재고는 결제 화면에서 갱신.</x:v>
      </x:c>
    </x:row>
    <x:row r="38" ht="42" customHeight="1">
      <x:c r="B38" s="21" t="str">
        <x:v>재료비 구매</x:v>
      </x:c>
      <x:c r="C38" s="21" t="str">
        <x:v>디바이스마트</x:v>
      </x:c>
      <x:c r="D38" s="21" t="str">
        <x:v>Portenta Machine Control</x:v>
      </x:c>
      <x:c r="E38" s="21" t="str">
        <x:v>AKX00032 / 13963538</x:v>
      </x:c>
      <x:c r="F38" s="30" t="n">
        <x:v>1</x:v>
      </x:c>
      <x:c r="G38" s="21" t="str">
        <x:v>https://www.devicemart.co.kr/goods/view?no=13963538</x:v>
      </x:c>
      <x:c r="H38" s="33" t="n">
        <x:v>496970</x:v>
      </x:c>
      <x:c r="I38" s="21" t="str">
        <x:v>PC01. J5 RS-485는 DMC-200 3대 전용. J7은 온도센서 단자.</x:v>
      </x:c>
    </x:row>
    <x:row r="39" ht="42" customHeight="1">
      <x:c r="B39" s="21" t="str">
        <x:v>재료비 구매</x:v>
      </x:c>
      <x:c r="C39" s="21" t="str">
        <x:v>디바이스마트</x:v>
      </x:c>
      <x:c r="D39" s="21" t="str">
        <x:v>5선 레버 커넥터</x:v>
      </x:c>
      <x:c r="E39" s="21" t="str">
        <x:v>WAGO 221-415, 10개입</x:v>
      </x:c>
      <x:c r="F39" s="30" t="n">
        <x:v>1</x:v>
      </x:c>
      <x:c r="G39" s="21" t="str">
        <x:v>https://www.devicemart.co.kr/s-1/c-3/?q=WAGO%20221-415</x:v>
      </x:c>
      <x:c r="H39" s="33" t="n">
        <x:v>18000</x:v>
      </x:c>
      <x:c r="I39" s="21" t="str">
        <x:v>E25. 저전류 +24 V/+12 V 분기용. 모터 주전류 분배에는 사용하지 않음.</x:v>
      </x:c>
    </x:row>
    <x:row r="40" ht="42" customHeight="1">
      <x:c r="B40" s="21" t="str">
        <x:v>재료비 구매</x:v>
      </x:c>
      <x:c r="C40" s="21" t="str">
        <x:v>디바이스마트</x:v>
      </x:c>
      <x:c r="D40" s="21" t="str">
        <x:v>차폐 3쌍 통신 케이블</x:v>
      </x:c>
      <x:c r="E40" s="21" t="str">
        <x:v>광일전선 UL2919 / 3P×24AWG / 13352</x:v>
      </x:c>
      <x:c r="F40" s="30" t="n">
        <x:v>6</x:v>
      </x:c>
      <x:c r="G40" s="21" t="str">
        <x:v>https://www.devicemart.co.kr/goods/view?no=13352</x:v>
      </x:c>
      <x:c r="H40" s="33" t="n">
        <x:v>21000</x:v>
      </x:c>
      <x:c r="I40" s="21" t="str">
        <x:v>CB01. DMC 버스·HWT 버스를 물리적으로 분리.</x:v>
      </x:c>
    </x:row>
    <x:row r="41" ht="42" customHeight="1">
      <x:c r="B41" s="21" t="str">
        <x:v>재료비 구매</x:v>
      </x:c>
      <x:c r="C41" s="21" t="str">
        <x:v>디바이스마트</x:v>
      </x:c>
      <x:c r="D41" s="21" t="str">
        <x:v>RS-485 종단저항</x:v>
      </x:c>
      <x:c r="E41" s="21" t="str">
        <x:v>120Ω 1/4W 1% / 1997</x:v>
      </x:c>
      <x:c r="F41" s="30" t="n">
        <x:v>10</x:v>
      </x:c>
      <x:c r="G41" s="21" t="str">
        <x:v>https://www.devicemart.co.kr/goods/view?no=1997</x:v>
      </x:c>
      <x:c r="H41" s="33" t="n">
        <x:v>400</x:v>
      </x:c>
      <x:c r="I41" s="21" t="str">
        <x:v>RT01. 각 RS-485 버스의 물리적 양 끝에만 적용.</x:v>
      </x:c>
    </x:row>
    <x:row r="42" ht="42" customHeight="1">
      <x:c r="B42" s="21" t="str">
        <x:v>재료비 구매</x:v>
      </x:c>
      <x:c r="C42" s="21" t="str">
        <x:v>디바이스마트</x:v>
      </x:c>
      <x:c r="D42" s="21" t="str">
        <x:v>Portenta–ZMEC Ethernet 케이블</x:v>
      </x:c>
      <x:c r="E42" s="21" t="str">
        <x:v>Anyport AP-6UTP-2M(G) / 10932540</x:v>
      </x:c>
      <x:c r="F42" s="30" t="n">
        <x:v>1</x:v>
      </x:c>
      <x:c r="G42" s="21" t="str">
        <x:v>https://www.devicemart.co.kr/goods/view?no=10932540</x:v>
      </x:c>
      <x:c r="H42" s="33" t="n">
        <x:v>1200</x:v>
      </x:c>
      <x:c r="I42" s="21" t="str">
        <x:v>CB02. HWT905 Modbus TCP 경로.</x:v>
      </x:c>
    </x:row>
    <x:row r="43" ht="42" customHeight="1">
      <x:c r="B43" s="21" t="str">
        <x:v>재료비 구매</x:v>
      </x:c>
      <x:c r="C43" s="21" t="str">
        <x:v>디바이스마트</x:v>
      </x:c>
      <x:c r="D43" s="21" t="str">
        <x:v>Portenta 프로그래밍 USB 케이블</x:v>
      </x:c>
      <x:c r="E43" s="21" t="str">
        <x:v>USB-A to Micro-B C3886 / 1061716</x:v>
      </x:c>
      <x:c r="F43" s="30" t="n">
        <x:v>1</x:v>
      </x:c>
      <x:c r="G43" s="21" t="str">
        <x:v>https://www.devicemart.co.kr/goods/view?no=1061716</x:v>
      </x:c>
      <x:c r="H43" s="33" t="n">
        <x:v>2500</x:v>
      </x:c>
      <x:c r="I43" s="21" t="str">
        <x:v>CB03. 펌웨어 업로드용.</x:v>
      </x:c>
    </x:row>
    <x:row r="44" ht="42" customHeight="1">
      <x:c r="B44" s="21" t="str">
        <x:v>재료비 구매</x:v>
      </x:c>
      <x:c r="C44" s="21" t="str">
        <x:v>디바이스마트</x:v>
      </x:c>
      <x:c r="D44" s="21" t="str">
        <x:v>RSP-750-24 섀시 고정나사</x:v>
      </x:c>
      <x:c r="E44" s="21" t="str">
        <x:v>M4×6 / 10912091</x:v>
      </x:c>
      <x:c r="F44" s="30" t="n">
        <x:v>10</x:v>
      </x:c>
      <x:c r="G44" s="21" t="str">
        <x:v>https://www.devicemart.co.kr/goods/view?no=10912091</x:v>
      </x:c>
      <x:c r="H44" s="33" t="n">
        <x:v>300</x:v>
      </x:c>
      <x:c r="I44" s="21" t="str">
        <x:v>F20. RSP 지정 탭 깊이 이내에서만 사용.</x:v>
      </x:c>
    </x:row>
    <x:row r="45" ht="42" customHeight="1">
      <x:c r="B45" s="19" t="str">
        <x:v>재료비 구매</x:v>
      </x:c>
      <x:c r="C45" s="19" t="str">
        <x:v>모터뱅크</x:v>
      </x:c>
      <x:c r="D45" s="19" t="str">
        <x:v>광학엔코더 리니어 액추에이터</x:v>
      </x:c>
      <x:c r="E45" s="19" t="str">
        <x:v>LM4075OE-1075 / 24 V / 100 mm / 5 V / 6 ppr</x:v>
      </x:c>
      <x:c r="F45" s="29" t="n">
        <x:v>3</x:v>
      </x:c>
      <x:c r="G45" s="19" t="str">
        <x:v>https://www.motorbank.kr/goods/goods_view.php?goodsNo=1000035578</x:v>
      </x:c>
      <x:c r="H45" s="32" t="n">
        <x:v>345000</x:v>
      </x:c>
      <x:c r="I45" s="19" t="str">
        <x:v>M01. 24 V·100 mm·5 V 엔코더 옵션. 기준점 +15 mm, 명령 최대 50 mm; CAD 간섭 시 35 mm로 제한.</x:v>
      </x:c>
    </x:row>
    <x:row r="46" ht="42" customHeight="1">
      <x:c r="B46" s="19" t="str">
        <x:v>재료비 구매</x:v>
      </x:c>
      <x:c r="C46" s="19" t="str">
        <x:v>모터뱅크</x:v>
      </x:c>
      <x:c r="D46" s="19" t="str">
        <x:v>하부 피벗 브래킷</x:v>
      </x:c>
      <x:c r="E46" s="19" t="str">
        <x:v>LMB-10 / 1000007655</x:v>
      </x:c>
      <x:c r="F46" s="29" t="n">
        <x:v>3</x:v>
      </x:c>
      <x:c r="G46" s="19" t="str">
        <x:v>https://www.motorbank.kr/goods/goods_view.php?goodsNo=1000007655</x:v>
      </x:c>
      <x:c r="H46" s="32" t="n">
        <x:v>12000</x:v>
      </x:c>
      <x:c r="I46" s="19" t="str">
        <x:v>M02. 동봉 핀/R클립 수량을 수령 즉시 확인.</x:v>
      </x:c>
    </x:row>
    <x:row r="47" ht="42" customHeight="1">
      <x:c r="B47" s="19" t="str">
        <x:v>재료비 구매</x:v>
      </x:c>
      <x:c r="C47" s="19" t="str">
        <x:v>모터뱅크</x:v>
      </x:c>
      <x:c r="D47" s="19" t="str">
        <x:v>엔코더 위치제어 드라이버</x:v>
      </x:c>
      <x:c r="E47" s="19" t="str">
        <x:v>DMC-200 / 1000008040</x:v>
      </x:c>
      <x:c r="F47" s="29" t="n">
        <x:v>3</x:v>
      </x:c>
      <x:c r="G47" s="19" t="str">
        <x:v>https://www.motorbank.kr/goods/goods_view.php?goodsNo=1000008040</x:v>
      </x:c>
      <x:c r="H47" s="32" t="n">
        <x:v>257400</x:v>
      </x:c>
      <x:c r="I47" s="19" t="str">
        <x:v>DC01. 축별 1대, ID 1/2/3. 위치·속도 제어 전류제한 6.0 A 초기값.</x:v>
      </x:c>
    </x:row>
    <x:row r="48" ht="42" customHeight="1">
      <x:c r="B48" s="21" t="str">
        <x:v>재료비 구매</x:v>
      </x:c>
      <x:c r="C48" s="21" t="str">
        <x:v>한국미스미</x:v>
      </x:c>
      <x:c r="D48" s="21" t="str">
        <x:v>상부 로드엔드 (2개입/포장)</x:v>
      </x:c>
      <x:c r="E48" s="21" t="str">
        <x:v>TRUSCO PHS6 / 280-7599</x:v>
      </x:c>
      <x:c r="F48" s="30" t="n">
        <x:v>2</x:v>
      </x:c>
      <x:c r="G48" s="21" t="str">
        <x:v>https://kr.misumi-ec.com/vona2/detail/221005504380/?HissuCode=PHS6</x:v>
      </x:c>
      <x:c r="H48" s="33" t="n">
        <x:v>26124</x:v>
      </x:c>
      <x:c r="I48" s="21" t="str">
        <x:v>M03. 2개입 2팩, 총 4개. 2026-10-04 미스미 장바구니 공급가 26,124원 확인.</x:v>
      </x:c>
    </x:row>
    <x:row r="49" ht="42" customHeight="1">
      <x:c r="B49" s="22" t="str">
        <x:v>재료비 구매</x:v>
      </x:c>
      <x:c r="C49" s="22" t="str">
        <x:v>한국미스미 meviy</x:v>
      </x:c>
      <x:c r="D49" s="22" t="str">
        <x:v>상부 PHS6 직접체결판 완성품 60×30×9</x:v>
      </x:c>
      <x:c r="E49" s="22" t="str">
        <x:v>MVBLK-ASN-4NX-8UHCW</x:v>
      </x:c>
      <x:c r="F49" s="31" t="n">
        <x:v>3</x:v>
      </x:c>
      <x:c r="G49" s="22" t="str">
        <x:v>https://meviy.misumi-ec.com/ko-kr/app/fa/3dview/001HDRRPFT/partsview/001HEFCCUC?partIds=001HEFCCUC</x:v>
      </x:c>
      <x:c r="H49" s="34" t="n">
        <x:v>71184</x:v>
      </x:c>
      <x:c r="I49" s="22" t="str">
        <x:v>UP01. AL6061, Ø6.6 관통 3개·중앙 상면 Ø11×4.5 카운터보어. 23,728원/개×3. 10/15 출하 표시. 재질 열처리상태 미표기.</x:v>
      </x:c>
    </x:row>
    <x:row r="50" ht="42" customHeight="1">
      <x:c r="B50" s="22" t="str">
        <x:v>재료비 구매</x:v>
      </x:c>
      <x:c r="C50" s="22" t="str">
        <x:v>한국미스미 meviy</x:v>
      </x:c>
      <x:c r="D50" s="22" t="str">
        <x:v>A1 하부 어댑터판 완성품 120×70×8</x:v>
      </x:c>
      <x:c r="E50" s="22" t="str">
        <x:v>MVBLK-ASN-4NX-MBY1F</x:v>
      </x:c>
      <x:c r="F50" s="31" t="n">
        <x:v>1</x:v>
      </x:c>
      <x:c r="G50" s="22" t="str">
        <x:v>https://meviy.misumi-ec.com/ko-kr/app/fa/3dview/001HDRVE6L/partsview/001HEEXVDI?partIds=001HEEXVDI</x:v>
      </x:c>
      <x:c r="H50" s="34" t="n">
        <x:v>35342</x:v>
      </x:c>
      <x:c r="I50" s="22" t="str">
        <x:v>C01. AL6061, M8×1.25 관통탭 2개·Ø9 관통 2개. 2026-10-04 장바구니 견적, 10/15 출하 표시.</x:v>
      </x:c>
    </x:row>
    <x:row r="51" ht="42" customHeight="1">
      <x:c r="B51" s="22" t="str">
        <x:v>재료비 구매</x:v>
      </x:c>
      <x:c r="C51" s="22" t="str">
        <x:v>한국미스미 meviy</x:v>
      </x:c>
      <x:c r="D51" s="22" t="str">
        <x:v>A2 하부 어댑터판 완성품 120×70×8</x:v>
      </x:c>
      <x:c r="E51" s="22" t="str">
        <x:v>MVBLK-ASN-4NX-7TGEL</x:v>
      </x:c>
      <x:c r="F51" s="31" t="n">
        <x:v>1</x:v>
      </x:c>
      <x:c r="G51" s="22" t="str">
        <x:v>https://meviy.misumi-ec.com/ko-kr/app/fa/3dview/001HDQCIQT/partsview/001HEFESXT?partIds=001HEFESXT</x:v>
      </x:c>
      <x:c r="H51" s="34" t="n">
        <x:v>35342</x:v>
      </x:c>
      <x:c r="I51" s="22" t="str">
        <x:v>C02. AL6061, M8×1.25 관통탭 2개·Ø9 관통 2개. A1과 홀 좌표가 다름. 10/15 출하 표시.</x:v>
      </x:c>
    </x:row>
    <x:row r="52" ht="42" customHeight="1">
      <x:c r="B52" s="22" t="str">
        <x:v>재료비 구매</x:v>
      </x:c>
      <x:c r="C52" s="22" t="str">
        <x:v>한국미스미 meviy</x:v>
      </x:c>
      <x:c r="D52" s="22" t="str">
        <x:v>A3 하부 어댑터판 완성품 120×70×8</x:v>
      </x:c>
      <x:c r="E52" s="22" t="str">
        <x:v>MVBLK-ASN-4NX-1YMXR</x:v>
      </x:c>
      <x:c r="F52" s="31" t="n">
        <x:v>1</x:v>
      </x:c>
      <x:c r="G52" s="22" t="str">
        <x:v>https://meviy.misumi-ec.com/ko-kr/app/fa/3dview/001HDQBPG4/partsview/001HEEXT3O?partIds=001HEEXT3O</x:v>
      </x:c>
      <x:c r="H52" s="34" t="n">
        <x:v>35342</x:v>
      </x:c>
      <x:c r="I52" s="22" t="str">
        <x:v>C03. AL6061, M8×1.25 관통탭 2개·Ø9 관통 2개. A1/A2와 홀 좌표가 다름. 10/15 출하 표시.</x:v>
      </x:c>
    </x:row>
    <x:row r="53" ht="42" customHeight="1">
      <x:c r="B53" s="21" t="str">
        <x:v>재료비 구매</x:v>
      </x:c>
      <x:c r="C53" s="21" t="str">
        <x:v>한국미스미</x:v>
      </x:c>
      <x:c r="D53" s="21" t="str">
        <x:v>상부 3030 프로파일 700 mm</x:v>
      </x:c>
      <x:c r="E53" s="21" t="str">
        <x:v>E-DNF3030-6-700</x:v>
      </x:c>
      <x:c r="F53" s="30" t="n">
        <x:v>2</x:v>
      </x:c>
      <x:c r="G53" s="21" t="str">
        <x:v>https://kr.misumi-ec.com/vona2/result/?Keyword=E-DNF3030-6-700</x:v>
      </x:c>
      <x:c r="H53" s="33" t="n">
        <x:v>15900</x:v>
      </x:c>
      <x:c r="I53" s="21" t="str">
        <x:v>S03. 공장 절단품.</x:v>
      </x:c>
    </x:row>
    <x:row r="54" ht="42" customHeight="1">
      <x:c r="B54" s="21" t="str">
        <x:v>재료비 구매</x:v>
      </x:c>
      <x:c r="C54" s="21" t="str">
        <x:v>한국미스미</x:v>
      </x:c>
      <x:c r="D54" s="21" t="str">
        <x:v>상부 3030 프로파일 640 mm</x:v>
      </x:c>
      <x:c r="E54" s="21" t="str">
        <x:v>E-DNF3030-6-640</x:v>
      </x:c>
      <x:c r="F54" s="30" t="n">
        <x:v>4</x:v>
      </x:c>
      <x:c r="G54" s="21" t="str">
        <x:v>https://kr.misumi-ec.com/vona2/result/?Keyword=E-DNF3030-6-640</x:v>
      </x:c>
      <x:c r="H54" s="33" t="n">
        <x:v>27265</x:v>
      </x:c>
      <x:c r="I54" s="21" t="str">
        <x:v>S04. 공장 절단품.</x:v>
      </x:c>
    </x:row>
    <x:row r="55" ht="42" customHeight="1">
      <x:c r="B55" s="21" t="str">
        <x:v>재료비 구매</x:v>
      </x:c>
      <x:c r="C55" s="21" t="str">
        <x:v>한국미스미</x:v>
      </x:c>
      <x:c r="D55" s="21" t="str">
        <x:v>3030용 M6 스프링너트</x:v>
      </x:c>
      <x:c r="E55" s="21" t="str">
        <x:v>E-SPN306</x:v>
      </x:c>
      <x:c r="F55" s="30" t="n">
        <x:v>22</x:v>
      </x:c>
      <x:c r="G55" s="21" t="str">
        <x:v>https://kr.misumi-ec.com/vona2/result/?Keyword=E-SPN306</x:v>
      </x:c>
      <x:c r="H55" s="33" t="n">
        <x:v>4620</x:v>
      </x:c>
      <x:c r="I55" s="21" t="str">
        <x:v>F07. 프레임 코너 16개 + 상부 직접체결판 6개.</x:v>
      </x:c>
    </x:row>
    <x:row r="56" ht="42" customHeight="1">
      <x:c r="B56" s="21" t="str">
        <x:v>재료비 구매</x:v>
      </x:c>
      <x:c r="C56" s="21" t="str">
        <x:v>한국미스미</x:v>
      </x:c>
      <x:c r="D56" s="21" t="str">
        <x:v>3030 직각 브래킷</x:v>
      </x:c>
      <x:c r="E56" s="21" t="str">
        <x:v>E-DCBK3025</x:v>
      </x:c>
      <x:c r="F56" s="30" t="n">
        <x:v>8</x:v>
      </x:c>
      <x:c r="G56" s="21" t="str">
        <x:v>https://kr.misumi-ec.com/vona2/result/?Keyword=E-DCBK3025</x:v>
      </x:c>
      <x:c r="H56" s="33" t="n">
        <x:v>3200</x:v>
      </x:c>
      <x:c r="I56" s="21" t="str">
        <x:v>S06. 상부 프레임 코너 체결.</x:v>
      </x:c>
    </x:row>
    <x:row r="57" ht="42" customHeight="1">
      <x:c r="B57" s="21" t="str">
        <x:v>재료비 구매</x:v>
      </x:c>
      <x:c r="C57" s="21" t="str">
        <x:v>한국미스미</x:v>
      </x:c>
      <x:c r="D57" s="21" t="str">
        <x:v>M6×12 육각렌치볼트</x:v>
      </x:c>
      <x:c r="E57" s="21" t="str">
        <x:v>CB6-12</x:v>
      </x:c>
      <x:c r="F57" s="30" t="n">
        <x:v>16</x:v>
      </x:c>
      <x:c r="G57" s="21" t="str">
        <x:v>https://kr.misumi-ec.com/vona2/result/?Keyword=CB6-12</x:v>
      </x:c>
      <x:c r="H57" s="33" t="n">
        <x:v>3840</x:v>
      </x:c>
      <x:c r="I57" s="21" t="str">
        <x:v>F02A. E-DCBK3025 체결.</x:v>
      </x:c>
    </x:row>
    <x:row r="58" ht="42" customHeight="1">
      <x:c r="B58" s="21" t="str">
        <x:v>재료비 구매</x:v>
      </x:c>
      <x:c r="C58" s="21" t="str">
        <x:v>한국미스미</x:v>
      </x:c>
      <x:c r="D58" s="21" t="str">
        <x:v>M6×18 육각렌치볼트</x:v>
      </x:c>
      <x:c r="E58" s="21" t="str">
        <x:v>CB6-18</x:v>
      </x:c>
      <x:c r="F58" s="30" t="n">
        <x:v>6</x:v>
      </x:c>
      <x:c r="G58" s="21" t="str">
        <x:v>https://kr.misumi-ec.com/vona2/result/?Keyword=CB6-18</x:v>
      </x:c>
      <x:c r="H58" s="33" t="n">
        <x:v>1560</x:v>
      </x:c>
      <x:c r="I58" s="21" t="str">
        <x:v>F02B. 두께 9 mm 상부 직접체결판을 3030 슬롯 너트에 체결.</x:v>
      </x:c>
    </x:row>
    <x:row r="59" ht="42" customHeight="1">
      <x:c r="B59" s="21" t="str">
        <x:v>재료비 구매</x:v>
      </x:c>
      <x:c r="C59" s="21" t="str">
        <x:v>한국미스미</x:v>
      </x:c>
      <x:c r="D59" s="21" t="str">
        <x:v>상부 피벗 핀 (E링 동봉)</x:v>
      </x:c>
      <x:c r="E59" s="21" t="str">
        <x:v>HCDGH6-35</x:v>
      </x:c>
      <x:c r="F59" s="30" t="n">
        <x:v>3</x:v>
      </x:c>
      <x:c r="G59" s="21" t="str">
        <x:v>https://kr.misumi-ec.com/vona2/detail/110300095750/?HissuCode=HCDGH6-35</x:v>
      </x:c>
      <x:c r="H59" s="33" t="n">
        <x:v>12000</x:v>
      </x:c>
      <x:c r="I59" s="21" t="str">
        <x:v>F08. 축당 1개. 별도 리테이너 구매 없음.</x:v>
      </x:c>
    </x:row>
    <x:row r="60" ht="42" customHeight="1">
      <x:c r="B60" s="21" t="str">
        <x:v>재료비 구매</x:v>
      </x:c>
      <x:c r="C60" s="21" t="str">
        <x:v>한국미스미</x:v>
      </x:c>
      <x:c r="D60" s="21" t="str">
        <x:v>핀 머리쪽 스페이서 와셔</x:v>
      </x:c>
      <x:c r="E60" s="21" t="str">
        <x:v>WSSB10-6-4</x:v>
      </x:c>
      <x:c r="F60" s="30" t="n">
        <x:v>3</x:v>
      </x:c>
      <x:c r="G60" s="21" t="str">
        <x:v>https://kr.misumi-ec.com/vona2/detail/110302677010/?HissuCode=WSSB10-6-4</x:v>
      </x:c>
      <x:c r="H60" s="33" t="n">
        <x:v>7500</x:v>
      </x:c>
      <x:c r="I60" s="21" t="str">
        <x:v>F08A. OD10×ID6×T4, 축당 1개.</x:v>
      </x:c>
    </x:row>
    <x:row r="61" ht="42" customHeight="1">
      <x:c r="B61" s="21" t="str">
        <x:v>재료비 구매</x:v>
      </x:c>
      <x:c r="C61" s="21" t="str">
        <x:v>한국미스미</x:v>
      </x:c>
      <x:c r="D61" s="21" t="str">
        <x:v>볼쪽 스페이서 와셔</x:v>
      </x:c>
      <x:c r="E61" s="21" t="str">
        <x:v>WSSB10-6-1.5</x:v>
      </x:c>
      <x:c r="F61" s="30" t="n">
        <x:v>3</x:v>
      </x:c>
      <x:c r="G61" s="21" t="str">
        <x:v>https://kr.misumi-ec.com/vona2/detail/110302677010/?HissuCode=WSSB10-6-1.5</x:v>
      </x:c>
      <x:c r="H61" s="33" t="n">
        <x:v>4410</x:v>
      </x:c>
      <x:c r="I61" s="21" t="str">
        <x:v>F08B. OD10×ID6×T1.5, 축당 1개.</x:v>
      </x:c>
    </x:row>
    <x:row r="62" ht="42" customHeight="1">
      <x:c r="B62" s="21" t="str">
        <x:v>재료비 구매</x:v>
      </x:c>
      <x:c r="C62" s="21" t="str">
        <x:v>한국미스미</x:v>
      </x:c>
      <x:c r="D62" s="21" t="str">
        <x:v>PHS6 포획 저두볼트</x:v>
      </x:c>
      <x:c r="E62" s="21" t="str">
        <x:v>CBS6-12</x:v>
      </x:c>
      <x:c r="F62" s="30" t="n">
        <x:v>3</x:v>
      </x:c>
      <x:c r="G62" s="21" t="str">
        <x:v>https://kr.misumi-ec.com/vona2/detail/110100142110/?HissuCode=CBS6-12</x:v>
      </x:c>
      <x:c r="H62" s="33" t="n">
        <x:v>2013</x:v>
      </x:c>
      <x:c r="I62" s="21" t="str">
        <x:v>F12. 브래킷 카운터보어에서 PHS6 암나사로 약 9 mm 물림.</x:v>
      </x:c>
    </x:row>
    <x:row r="63" ht="42" customHeight="1">
      <x:c r="B63" s="21" t="str">
        <x:v>재료비 구매</x:v>
      </x:c>
      <x:c r="C63" s="21" t="str">
        <x:v>한국미스미</x:v>
      </x:c>
      <x:c r="D63" s="21" t="str">
        <x:v>DIN 레일 300 mm 완제품</x:v>
      </x:c>
      <x:c r="E63" s="21" t="str">
        <x:v>MRB-300</x:v>
      </x:c>
      <x:c r="F63" s="30" t="n">
        <x:v>3</x:v>
      </x:c>
      <x:c r="G63" s="21" t="str">
        <x:v>https://kr.misumi-ec.com/vona2/result/?Keyword=MRB-300</x:v>
      </x:c>
      <x:c r="H63" s="33" t="n">
        <x:v>15000</x:v>
      </x:c>
      <x:c r="I63" s="21" t="str">
        <x:v>E22. 금속 절단 없이 3열 배치.</x:v>
      </x:c>
    </x:row>
    <x:row r="64" ht="42" customHeight="1">
      <x:c r="B64" s="19" t="str">
        <x:v>재료비 구매</x:v>
      </x:c>
      <x:c r="C64" s="19" t="str">
        <x:v>Digi-Key Korea</x:v>
      </x:c>
      <x:c r="D64" s="19" t="str">
        <x:v>24 VDC 모터전원 접촉기</x:v>
      </x:c>
      <x:c r="E64" s="19" t="str">
        <x:v>Finder 22.32.0.024.4320</x:v>
      </x:c>
      <x:c r="F64" s="29" t="n">
        <x:v>1</x:v>
      </x:c>
      <x:c r="G64" s="19" t="str">
        <x:v>https://www.digikey.kr/en/products/filter/contactors-electromechanical/969</x:v>
      </x:c>
      <x:c r="H64" s="32" t="n">
        <x:v>72339</x:v>
      </x:c>
      <x:c r="I64" s="19" t="str">
        <x:v>E11. 2NO, 24 VAC/DC 코일, 30 VDC DC-1 25 A. 1극 주전원·1극 자기유지.</x:v>
      </x:c>
    </x:row>
    <x:row r="65" ht="42" customHeight="1">
      <x:c r="B65" s="21" t="str">
        <x:v>재료비 구매</x:v>
      </x:c>
      <x:c r="C65" s="21" t="str">
        <x:v>액티웍스</x:v>
      </x:c>
      <x:c r="D65" s="21" t="str">
        <x:v>절연 Ethernet–RS485 게이트웨이</x:v>
      </x:c>
      <x:c r="E65" s="21" t="str">
        <x:v>ZMEC485DI / 1000028596</x:v>
      </x:c>
      <x:c r="F65" s="30" t="n">
        <x:v>1</x:v>
      </x:c>
      <x:c r="G65" s="21" t="str">
        <x:v>https://actiworks.co.kr/goods/goods_view.php?goodsNo=1000028596</x:v>
      </x:c>
      <x:c r="H65" s="33" t="n">
        <x:v>76364</x:v>
      </x:c>
      <x:c r="I65" s="21" t="str">
        <x:v>SG01. HWT905 두 대 전용 Modbus TCP↔RTU. DMC 프로토콜에는 사용하지 않음.</x:v>
      </x:c>
    </x:row>
    <x:row r="66" ht="42" customHeight="1">
      <x:c r="B66" s="19" t="str">
        <x:v>재료비 구매</x:v>
      </x:c>
      <x:c r="C66" s="19" t="str">
        <x:v>G마켓 케이일레븐홀딩스</x:v>
      </x:c>
      <x:c r="D66" s="19" t="str">
        <x:v>상·하부 절대 경사센서</x:v>
      </x:c>
      <x:c r="E66" s="19" t="str">
        <x:v>HWT905-RS485 / 3973625857 / 옵션03</x:v>
      </x:c>
      <x:c r="F66" s="29" t="n">
        <x:v>2</x:v>
      </x:c>
      <x:c r="G66" s="19" t="str">
        <x:v>https://item.gmarket.co.kr/Item?goodsCode=3973625857</x:v>
      </x:c>
      <x:c r="H66" s="32" t="n">
        <x:v>331871</x:v>
      </x:c>
      <x:c r="I66" s="19" t="str">
        <x:v>IS01/02. 12 V 공급, Modbus ID를 한 대씩 0x50/0x51로 설정한 뒤 병렬 연결.</x:v>
      </x:c>
    </x:row>
    <x:row r="67" ht="44" customHeight="1">
      <x:c r="B67" s="20" t="str">
        <x:v>공급가 부분합</x:v>
      </x:c>
      <x:c r="C67" s="20"/>
      <x:c r="D67" s="20"/>
      <x:c r="E67" s="20"/>
      <x:c r="F67" s="20"/>
      <x:c r="G67" s="20"/>
      <x:c r="H67" s="35" t="n">
        <x:f>SUM(H4:H66)</x:f>
        <x:v>2897525</x:v>
      </x:c>
      <x:c r="I67" s="20" t="str">
        <x:v>2026-10-04 확인: meviy 완성품 4종 177,210원, 미스미 PHS6 26,124원. 기타 품목은 종전 BOM 가격으로 결제 전 갱신.</x:v>
      </x:c>
    </x:row>
    <x:row r="68" ht="44" customHeight="1">
      <x:c r="B68" s="20" t="str">
        <x:v>부가세 10% 추정</x:v>
      </x:c>
      <x:c r="C68" s="20"/>
      <x:c r="D68" s="20"/>
      <x:c r="E68" s="20"/>
      <x:c r="F68" s="20"/>
      <x:c r="G68" s="20"/>
      <x:c r="H68" s="35" t="n">
        <x:f>ROUND(H67*10%,0)</x:f>
        <x:v>289753</x:v>
      </x:c>
      <x:c r="I68" s="20" t="str">
        <x:v>meviy 가공품 4종의 장바구니 VAT는 17,720원. 전체 행은 간편 10% 추정이며 사이트별 반올림·배송비가 다를 수 있음.</x:v>
      </x:c>
    </x:row>
    <x:row r="69" ht="44" customHeight="1">
      <x:c r="B69" s="20" t="str">
        <x:v>VAT 포함 추정 합계</x:v>
      </x:c>
      <x:c r="C69" s="20"/>
      <x:c r="D69" s="20"/>
      <x:c r="E69" s="20"/>
      <x:c r="F69" s="20"/>
      <x:c r="G69" s="20"/>
      <x:c r="H69" s="35" t="n">
        <x:f>SUM(H67:H68)</x:f>
        <x:v>3187278</x:v>
      </x:c>
      <x:c r="I69" s="20" t="str">
        <x:v>meviy 가공품 4종은 자동견적 발주 준비완료. 미스미 장바구니 표시 총액 194,930원(공급가 177,210원) 확인.</x:v>
      </x:c>
    </x:row>
    <x:row r="70" ht="44" customHeight="1">
      <x:c r="B70" s="20" t="str">
        <x:v>지원금 잔여 추정액</x:v>
      </x:c>
      <x:c r="C70" s="20"/>
      <x:c r="D70" s="20"/>
      <x:c r="E70" s="20"/>
      <x:c r="F70" s="20"/>
      <x:c r="G70" s="20"/>
      <x:c r="H70" s="35" t="n">
        <x:f>$I$2-H69</x:f>
        <x:v>812722</x:v>
      </x:c>
      <x:c r="I70" s="20" t="str">
        <x:v>다른 구매처의 가격·옵션·재고·배송비를 재확인한 뒤 확정.</x:v>
      </x:c>
    </x:row>
  </x:sheetData>
  <x:mergeCells>
    <x:mergeCell ref="B1:I1"/>
  </x:mergeCells>
  <x:pageMargins left="0.7" right="0.7" top="0.75" bottom="0.75" header="0.3" footer="0.3"/>
</x:worksheet>
</file>