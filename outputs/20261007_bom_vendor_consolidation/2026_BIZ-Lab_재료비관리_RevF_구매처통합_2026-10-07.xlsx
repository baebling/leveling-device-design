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3bafcda60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d14e8c95944fc5"/>
  </x:sheets>
</x:workbook>
</file>

<file path=xl/sharedStrings.xml><?xml version="1.0" encoding="utf-8"?>
<x:sst xmlns:x="http://schemas.openxmlformats.org/spreadsheetml/2006/main">
  <x:si>
    <x:t xml:space="preserve">2026 BIZ-Lab 시제품 재료비</x:t>
  </x:si>
  <x:si>
    <x:t xml:space="preserve">지원금</x:t>
  </x:si>
  <x:si>
    <x:t xml:space="preserve">지출방법</x:t>
  </x:si>
  <x:si>
    <x:t xml:space="preserve">업체명</x:t>
  </x:si>
  <x:si>
    <x:t xml:space="preserve">제품명</x:t>
  </x:si>
  <x:si>
    <x:t xml:space="preserve">모델명</x:t>
  </x:si>
  <x:si>
    <x:t xml:space="preserve">수량</x:t>
  </x:si>
  <x:si>
    <x:t xml:space="preserve">링크</x:t>
  </x:si>
  <x:si>
    <x:t xml:space="preserve">총 가격 (공급가액)</x:t>
  </x:si>
  <x:si>
    <x:t xml:space="preserve">비고</x:t>
  </x:si>
  <x:si>
    <x:t xml:space="preserve">공급가 부분합</x:t>
  </x:si>
  <x:si>
    <x:t xml:space="preserve">부가세 10% 추정</x:t>
  </x:si>
  <x:si>
    <x:t xml:space="preserve">VAT 포함 추정 합계</x:t>
  </x:si>
  <x:si>
    <x:t xml:space="preserve">지원금 잔여 추정액</x:t>
  </x:si>
</x:sst>
</file>

<file path=xl/styles.xml><?xml version="1.0" encoding="utf-8"?>
<x:styleSheet xmlns:x="http://schemas.openxmlformats.org/spreadsheetml/2006/main">
  <x:numFmts count="2">
    <x:numFmt numFmtId="42" formatCode="_-&quot;₩&quot;* #,##0_-;\-&quot;₩&quot;* #,##0_-;_-&quot;₩&quot;* &quot;-&quot;_-;_-@_-"/>
    <x:numFmt numFmtId="176" formatCode="#,##0&quot;원&quot;"/>
  </x:numFmts>
  <x:fonts count="8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name val="Malgun Gothic"/>
    </x:font>
    <x:font>
      <x:b/>
      <x:sz val="10"/>
      <x:color rgb="FFFFFFFF"/>
      <x:name val="Malgun Gothic"/>
    </x:font>
    <x:font>
      <x:sz val="9"/>
      <x:color rgb="FF0563C1"/>
      <x:name val="Malgun Gothic"/>
    </x:font>
    <x:font>
      <x:sz val="11"/>
      <x:name val="Carlito"/>
    </x:font>
    <x:font>
      <x:sz val="8"/>
      <x:name val="돋움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3">
    <x:xf numFmtId="0" fontId="0" fillId="0" borderId="0"/>
    <x:xf numFmtId="0" fontId="6" fillId="0" borderId="0"/>
    <x:xf numFmtId="42" fontId="6" fillId="0" borderId="0" applyFont="0" applyFill="0" applyBorder="0" applyAlignment="0" applyProtection="0">
      <x:alignment vertical="center"/>
    </x:xf>
  </x:cellStyleXfs>
  <x:cellXfs count="39">
    <x:xf numFmtId="0" fontId="0" fillId="0" borderId="0" xfId="0"/>
    <x:xf numFmtId="0" fontId="3" fillId="3" borderId="0" xfId="1" applyFont="1" applyFill="1" applyAlignment="1">
      <x:alignment wrapText="1"/>
    </x:xf>
    <x:xf numFmtId="0" fontId="4" fillId="4" borderId="1" xfId="1" applyFont="1" applyFill="1" applyBorder="1" applyAlignment="1">
      <x:alignment horizontal="center" vertical="center" wrapText="1"/>
    </x:xf>
    <x:xf numFmtId="0" fontId="1" fillId="0" borderId="1" xfId="1" applyFont="1" applyBorder="1" applyAlignment="1">
      <x:alignment vertical="top" wrapText="1"/>
    </x:xf>
    <x:xf numFmtId="0" fontId="3" fillId="5" borderId="1" xfId="1" applyFont="1" applyFill="1" applyBorder="1" applyAlignment="1">
      <x:alignment wrapText="1"/>
    </x:xf>
    <x:xf numFmtId="0" fontId="1" fillId="6" borderId="1" xfId="1" applyFont="1" applyFill="1" applyBorder="1" applyAlignment="1">
      <x:alignment vertical="top" wrapText="1"/>
    </x:xf>
    <x:xf numFmtId="0" fontId="1" fillId="7" borderId="1" xfId="1" applyFont="1" applyFill="1" applyBorder="1" applyAlignment="1">
      <x:alignment vertical="top" wrapText="1"/>
    </x:xf>
    <x:xf numFmtId="176" fontId="3" fillId="3" borderId="0" xfId="1" applyNumberFormat="1" applyFont="1" applyFill="1" applyAlignment="1">
      <x:alignment wrapText="1"/>
    </x:xf>
    <x:xf numFmtId="0" fontId="2" fillId="2" borderId="0" xfId="1" applyFont="1" applyFill="1" applyAlignment="1">
      <x:alignment horizontal="center" vertical="center"/>
    </x:xf>
    <x:xf numFmtId="0" fontId="1" fillId="0" borderId="1" xfId="1" applyFont="1" applyBorder="1" applyAlignment="1">
      <x:alignment horizontal="center" vertical="center" wrapText="1"/>
    </x:xf>
    <x:xf numFmtId="0" fontId="5" fillId="0" borderId="1" xfId="1" applyFont="1" applyBorder="1" applyAlignment="1">
      <x:alignment horizontal="center" vertical="center" wrapText="1"/>
    </x:xf>
    <x:xf numFmtId="0" fontId="1" fillId="6" borderId="1" xfId="1" applyFont="1" applyFill="1" applyBorder="1" applyAlignment="1">
      <x:alignment horizontal="center" vertical="center" wrapText="1"/>
    </x:xf>
    <x:xf numFmtId="0" fontId="5" fillId="6" borderId="1" xfId="1" applyFont="1" applyFill="1" applyBorder="1" applyAlignment="1">
      <x:alignment horizontal="center" vertical="center" wrapText="1"/>
    </x:xf>
    <x:xf numFmtId="0" fontId="1" fillId="7" borderId="1" xfId="1" applyFont="1" applyFill="1" applyBorder="1" applyAlignment="1">
      <x:alignment horizontal="center" vertical="center" wrapText="1"/>
    </x:xf>
    <x:xf numFmtId="0" fontId="5" fillId="7" borderId="1" xfId="1" applyFont="1" applyFill="1" applyBorder="1" applyAlignment="1">
      <x:alignment horizontal="center" vertical="center" wrapText="1"/>
    </x:xf>
    <x:xf numFmtId="42" fontId="1" fillId="0" borderId="1" xfId="2" applyFont="1" applyBorder="1" applyAlignment="1">
      <x:alignment horizontal="right" vertical="top" wrapText="1"/>
    </x:xf>
    <x:xf numFmtId="42" fontId="1" fillId="6" borderId="1" xfId="2" applyFont="1" applyFill="1" applyBorder="1" applyAlignment="1">
      <x:alignment horizontal="right" vertical="top" wrapText="1"/>
    </x:xf>
    <x:xf numFmtId="42" fontId="1" fillId="7" borderId="1" xfId="2" applyFont="1" applyFill="1" applyBorder="1" applyAlignment="1">
      <x:alignment horizontal="right" vertical="top" wrapText="1"/>
    </x:xf>
    <x:xf numFmtId="42" fontId="3" fillId="5" borderId="1" xfId="2" applyFont="1" applyFill="1" applyBorder="1" applyAlignment="1">
      <x:alignment horizontal="right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42" fontId="1" fillId="8" borderId="1" xfId="0" applyNumberFormat="1" applyFont="1" applyFill="1" applyBorder="1" applyAlignment="1">
      <x:alignment horizontal="right"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horizontal="center"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1" fillId="9" borderId="1" xfId="0" applyNumberFormat="1" applyFont="1" applyFill="1" applyBorder="1" applyAlignment="1">
      <x:alignment horizontal="center" vertical="top" wrapText="1"/>
    </x:xf>
    <x:xf numFmtId="0" fontId="5" fillId="9" borderId="1" xfId="0" applyNumberFormat="1" applyFont="1" applyFill="1" applyBorder="1" applyAlignment="1">
      <x:alignment horizontal="center" vertical="top" wrapText="1"/>
    </x:xf>
    <x:xf numFmtId="42" fontId="1" fillId="9" borderId="1" xfId="0" applyNumberFormat="1" applyFont="1" applyFill="1" applyBorder="1" applyAlignment="1">
      <x:alignment horizontal="right"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horizontal="center" vertical="top" wrapText="1"/>
    </x:xf>
    <x:xf numFmtId="0" fontId="5" fillId="10" borderId="1" xfId="0" applyNumberFormat="1" applyFont="1" applyFill="1" applyBorder="1" applyAlignment="1">
      <x:alignment horizontal="center" vertical="top" wrapText="1"/>
    </x:xf>
    <x:xf numFmtId="42" fontId="1" fillId="10" borderId="1" xfId="0" applyNumberFormat="1" applyFont="1" applyFill="1" applyBorder="1" applyAlignment="1">
      <x:alignment horizontal="right"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wrapText="1"/>
    </x:xf>
    <x:xf numFmtId="42" fontId="3" fillId="5" borderId="1" xfId="0" applyNumberFormat="1" applyFont="1" applyFill="1" applyBorder="1" applyAlignment="1">
      <x:alignment horizontal="right" wrapText="1"/>
    </x:xf>
    <x:xf numFmtId="176" fontId="1" fillId="8" borderId="1" xfId="0" applyNumberFormat="1" applyFont="1" applyFill="1" applyBorder="1" applyAlignment="1">
      <x:alignment horizontal="right" vertical="top" wrapText="1"/>
    </x:xf>
    <x:xf numFmtId="176" fontId="1" fillId="9" borderId="1" xfId="0" applyNumberFormat="1" applyFont="1" applyFill="1" applyBorder="1" applyAlignment="1">
      <x:alignment horizontal="right" vertical="top" wrapText="1"/>
    </x:xf>
    <x:xf numFmtId="176" fontId="1" fillId="10" borderId="1" xfId="0" applyNumberFormat="1" applyFont="1" applyFill="1" applyBorder="1" applyAlignment="1">
      <x:alignment horizontal="right" vertical="top" wrapText="1"/>
    </x:xf>
    <x:xf numFmtId="176" fontId="3" fillId="5" borderId="1" xfId="0" applyNumberFormat="1" applyFont="1" applyFill="1" applyBorder="1" applyAlignment="1">
      <x:alignment horizontal="right" wrapText="1"/>
    </x:xf>
  </x:cellXfs>
  <x:cellStyles count="3">
    <x:cellStyle name="Normal" xfId="1"/>
    <x:cellStyle name="통화 [0]" xfId="2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57b139ae54dd8" /><Relationship Type="http://schemas.openxmlformats.org/officeDocument/2006/relationships/theme" Target="/xl/theme/theme1.xml" Id="Reb5c67f17124425c" /><Relationship Type="http://schemas.openxmlformats.org/officeDocument/2006/relationships/sharedStrings" Target="/xl/sharedStrings.xml" Id="R43ce00a39d354060" /><Relationship Type="http://schemas.openxmlformats.org/officeDocument/2006/relationships/worksheet" Target="/xl/worksheets/sheet1.xml" Id="R9ed14e8c95944f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BomLink4" Type="http://schemas.openxmlformats.org/officeDocument/2006/relationships/hyperlink" Target="https://www.navimro.com/p/K92787708/" TargetMode="External" /><ns0:Relationship Id="rIdBomLink5" Type="http://schemas.openxmlformats.org/officeDocument/2006/relationships/hyperlink" Target="https://www.navimro.com/p/K92787705/" TargetMode="External" /><ns0:Relationship Id="rIdBomLink6" Type="http://schemas.openxmlformats.org/officeDocument/2006/relationships/hyperlink" Target="https://www.navimro.com/p/K92782553/" TargetMode="External" /><ns0:Relationship Id="rIdBomLink7" Type="http://schemas.openxmlformats.org/officeDocument/2006/relationships/hyperlink" Target="https://www.navimro.com/p/K53536280/" TargetMode="External" /><ns0:Relationship Id="rIdBomLink8" Type="http://schemas.openxmlformats.org/officeDocument/2006/relationships/hyperlink" Target="https://www.navimro.com/p/K53536553/" TargetMode="External" /><ns0:Relationship Id="rIdBomLink9" Type="http://schemas.openxmlformats.org/officeDocument/2006/relationships/hyperlink" Target="https://www.navimro.com/p/K06130485/" TargetMode="External" /><ns0:Relationship Id="rIdBomLink10" Type="http://schemas.openxmlformats.org/officeDocument/2006/relationships/hyperlink" Target="https://www.navimro.com/p/K15696523/" TargetMode="External" /><ns0:Relationship Id="rIdBomLink11" Type="http://schemas.openxmlformats.org/officeDocument/2006/relationships/hyperlink" Target="https://www.navimro.com/p/K14671419/" TargetMode="External" /><ns0:Relationship Id="rIdBomLink12" Type="http://schemas.openxmlformats.org/officeDocument/2006/relationships/hyperlink" Target="https://www.navimro.com/p/K64647607/" TargetMode="External" /><ns0:Relationship Id="rIdBomLink13" Type="http://schemas.openxmlformats.org/officeDocument/2006/relationships/hyperlink" Target="https://www.navimro.com/p/K14364804/" TargetMode="External" /><ns0:Relationship Id="rIdBomLink14" Type="http://schemas.openxmlformats.org/officeDocument/2006/relationships/hyperlink" Target="https://www.navimro.com/p/K06130054/" TargetMode="External" /><ns0:Relationship Id="rIdBomLink15" Type="http://schemas.openxmlformats.org/officeDocument/2006/relationships/hyperlink" Target="https://www.navimro.com/p/K52569152/" TargetMode="External" /><ns0:Relationship Id="rIdBomLink16" Type="http://schemas.openxmlformats.org/officeDocument/2006/relationships/hyperlink" Target="https://www.navimro.com/p/K55027039/" TargetMode="External" /><ns0:Relationship Id="rIdBomLink17" Type="http://schemas.openxmlformats.org/officeDocument/2006/relationships/hyperlink" Target="https://www.navimro.com/p/K92854706/" TargetMode="External" /><ns0:Relationship Id="rIdBomLink18" Type="http://schemas.openxmlformats.org/officeDocument/2006/relationships/hyperlink" Target="https://www.devicemart.co.kr/goods/view?no=12375531" TargetMode="External" /><ns0:Relationship Id="rIdBomLink19" Type="http://schemas.openxmlformats.org/officeDocument/2006/relationships/hyperlink" Target="https://www.devicemart.co.kr/goods/view?no=16055797" TargetMode="External" /><ns0:Relationship Id="rIdBomLink20" Type="http://schemas.openxmlformats.org/officeDocument/2006/relationships/hyperlink" Target="https://www.devicemart.co.kr/goods/view?no=7182" TargetMode="External" /><ns0:Relationship Id="rIdBomLink21" Type="http://schemas.openxmlformats.org/officeDocument/2006/relationships/hyperlink" Target="https://www.devicemart.co.kr/goods/view?no=14954324" TargetMode="External" /><ns0:Relationship Id="rIdBomLink22" Type="http://schemas.openxmlformats.org/officeDocument/2006/relationships/hyperlink" Target="https://www.devicemart.co.kr/goods/view?no=13232167" TargetMode="External" /><ns0:Relationship Id="rIdBomLink23" Type="http://schemas.openxmlformats.org/officeDocument/2006/relationships/hyperlink" Target="https://www.devicemart.co.kr/goods/view?no=8994457" TargetMode="External" /><ns0:Relationship Id="rIdBomLink24" Type="http://schemas.openxmlformats.org/officeDocument/2006/relationships/hyperlink" Target="https://www.devicemart.co.kr/goods/view?no=11512" TargetMode="External" /><ns0:Relationship Id="rIdBomLink25" Type="http://schemas.openxmlformats.org/officeDocument/2006/relationships/hyperlink" Target="https://www.devicemart.co.kr/goods/view?no=11510" TargetMode="External" /><ns0:Relationship Id="rIdBomLink26" Type="http://schemas.openxmlformats.org/officeDocument/2006/relationships/hyperlink" Target="https://www.devicemart.co.kr/goods/view?no=11509" TargetMode="External" /><ns0:Relationship Id="rIdBomLink27" Type="http://schemas.openxmlformats.org/officeDocument/2006/relationships/hyperlink" Target="https://www.devicemart.co.kr/goods/view?no=10895022" TargetMode="External" /><ns0:Relationship Id="rIdBomLink28" Type="http://schemas.openxmlformats.org/officeDocument/2006/relationships/hyperlink" Target="https://www.devicemart.co.kr/goods/view?no=10894246" TargetMode="External" /><ns0:Relationship Id="rIdBomLink29" Type="http://schemas.openxmlformats.org/officeDocument/2006/relationships/hyperlink" Target="https://www.devicemart.co.kr/goods/view?no=16043939" TargetMode="External" /><ns0:Relationship Id="rIdBomLink30" Type="http://schemas.openxmlformats.org/officeDocument/2006/relationships/hyperlink" Target="https://www.devicemart.co.kr/goods/view?no=11269545" TargetMode="External" /><ns0:Relationship Id="rIdBomLink31" Type="http://schemas.openxmlformats.org/officeDocument/2006/relationships/hyperlink" Target="https://www.devicemart.co.kr/goods/view?no=15085668" TargetMode="External" /><ns0:Relationship Id="rIdBomLink32" Type="http://schemas.openxmlformats.org/officeDocument/2006/relationships/hyperlink" Target="https://www.devicemart.co.kr/goods/view?no=13963538" TargetMode="External" /><ns0:Relationship Id="rIdBomLink33" Type="http://schemas.openxmlformats.org/officeDocument/2006/relationships/hyperlink" Target="https://www.devicemart.co.kr/goods/view?no=14954315" TargetMode="External" /><ns0:Relationship Id="rIdBomLink34" Type="http://schemas.openxmlformats.org/officeDocument/2006/relationships/hyperlink" Target="https://www.devicemart.co.kr/goods/view?no=13352" TargetMode="External" /><ns0:Relationship Id="rIdBomLink35" Type="http://schemas.openxmlformats.org/officeDocument/2006/relationships/hyperlink" Target="https://www.devicemart.co.kr/goods/view?no=1997" TargetMode="External" /><ns0:Relationship Id="rIdBomLink36" Type="http://schemas.openxmlformats.org/officeDocument/2006/relationships/hyperlink" Target="https://www.devicemart.co.kr/goods/view?no=10932540" TargetMode="External" /><ns0:Relationship Id="rIdBomLink37" Type="http://schemas.openxmlformats.org/officeDocument/2006/relationships/hyperlink" Target="https://www.devicemart.co.kr/goods/view?no=1061716" TargetMode="External" /><ns0:Relationship Id="rIdBomLink38" Type="http://schemas.openxmlformats.org/officeDocument/2006/relationships/hyperlink" Target="https://www.devicemart.co.kr/goods/view?no=10912091" TargetMode="External" /><ns0:Relationship Id="rIdBomLink39" Type="http://schemas.openxmlformats.org/officeDocument/2006/relationships/hyperlink" Target="https://www.devicemart.co.kr/goods/view?no=7181" TargetMode="External" /><ns0:Relationship Id="rIdBomLink40" Type="http://schemas.openxmlformats.org/officeDocument/2006/relationships/hyperlink" Target="https://www.motorbank.kr/goods/goods_view.php?goodsNo=1000035578" TargetMode="External" /><ns0:Relationship Id="rIdBomLink41" Type="http://schemas.openxmlformats.org/officeDocument/2006/relationships/hyperlink" Target="https://www.motorbank.kr/goods/goods_view.php?goodsNo=1000007655" TargetMode="External" /><ns0:Relationship Id="rIdBomLink42" Type="http://schemas.openxmlformats.org/officeDocument/2006/relationships/hyperlink" Target="https://www.motorbank.kr/goods/goods_view.php?goodsNo=1000008040" TargetMode="External" /><ns0:Relationship Id="rIdBomLink43" Type="http://schemas.openxmlformats.org/officeDocument/2006/relationships/hyperlink" Target="https://kr.misumi-ec.com/vona2/detail/110400233420/?HissuCode=BC-AGP-507025" TargetMode="External" /><ns0:Relationship Id="rIdBomLink44" Type="http://schemas.openxmlformats.org/officeDocument/2006/relationships/hyperlink" Target="https://kr.misumi-ec.com/vona2/detail/222005921564/?HissuCode=5070P" TargetMode="External" /><ns0:Relationship Id="rIdBomLink45" Type="http://schemas.openxmlformats.org/officeDocument/2006/relationships/hyperlink" Target="https://kr.misumi-ec.com/vona2/detail/222005934085/?HissuCode=DYP-G16B-B-3M-1.5" TargetMode="External" /><ns0:Relationship Id="rIdBomLink46" Type="http://schemas.openxmlformats.org/officeDocument/2006/relationships/hyperlink" Target="https://kr.misumi-ec.com/vona2/detail/222302627938/?HissuCode=BC-PG13.5L-G-N" TargetMode="External" /><ns0:Relationship Id="rIdBomLink47" Type="http://schemas.openxmlformats.org/officeDocument/2006/relationships/hyperlink" Target="https://kr.misumi-ec.com/vona2/detail/222301892638/?HissuCode=NMT-200KTW" TargetMode="External" /><ns0:Relationship Id="rIdBomLink48" Type="http://schemas.openxmlformats.org/officeDocument/2006/relationships/hyperlink" Target="https://kr.misumi-ec.com/vona2/detail/223006497889/?HissuCode=KS-ELETAPE-016MM-19MM-10M-BLACK" TargetMode="External" /><ns0:Relationship Id="rIdBomLink49" Type="http://schemas.openxmlformats.org/officeDocument/2006/relationships/hyperlink" Target="https://kr.misumi-ec.com/vona2/detail/221005504380/?HissuCode=PHS6" TargetMode="External" /><ns0:Relationship Id="rIdBomLink50" Type="http://schemas.openxmlformats.org/officeDocument/2006/relationships/hyperlink" Target="https://kr.misumi-ec.com/vona2/detail/110311379609/?HissuCode=E-DNF3030-700" TargetMode="External" /><ns0:Relationship Id="rIdBomLink51" Type="http://schemas.openxmlformats.org/officeDocument/2006/relationships/hyperlink" Target="https://kr.misumi-ec.com/vona2/detail/110311379609/?HissuCode=E-DNF3030-640" TargetMode="External" /><ns0:Relationship Id="rIdBomLink52" Type="http://schemas.openxmlformats.org/officeDocument/2006/relationships/hyperlink" Target="https://kr.misumi-ec.com/vona2/detail/110311380239/?HissuCode=E-SPN306" TargetMode="External" /><ns0:Relationship Id="rIdBomLink53" Type="http://schemas.openxmlformats.org/officeDocument/2006/relationships/hyperlink" Target="https://kr.misumi-ec.com/vona2/detail/110311380419/?HissuCode=E-DCBK3025" TargetMode="External" /><ns0:Relationship Id="rIdBomLink54" Type="http://schemas.openxmlformats.org/officeDocument/2006/relationships/hyperlink" Target="https://kr.misumi-ec.com/vona2/detail/110100141750/?HissuCode=CB6-12" TargetMode="External" /><ns0:Relationship Id="rIdBomLink55" Type="http://schemas.openxmlformats.org/officeDocument/2006/relationships/hyperlink" Target="https://kr.misumi-ec.com/vona2/detail/110100141750/?HissuCode=CB6-18" TargetMode="External" /><ns0:Relationship Id="rIdBomLink56" Type="http://schemas.openxmlformats.org/officeDocument/2006/relationships/hyperlink" Target="https://kr.misumi-ec.com/vona2/detail/110300095750/?HissuCode=HCDGH6-40" TargetMode="External" /><ns0:Relationship Id="rIdBomLink57" Type="http://schemas.openxmlformats.org/officeDocument/2006/relationships/hyperlink" Target="https://kr.misumi-ec.com/vona2/detail/110302677010/?HissuCode=WSSB10-6-4" TargetMode="External" /><ns0:Relationship Id="rIdBomLink58" Type="http://schemas.openxmlformats.org/officeDocument/2006/relationships/hyperlink" Target="https://kr.misumi-ec.com/vona2/detail/110302677010/?HissuCode=WSSB10-6-1.5" TargetMode="External" /><ns0:Relationship Id="rIdBomLink59" Type="http://schemas.openxmlformats.org/officeDocument/2006/relationships/hyperlink" Target="https://kr.misumi-ec.com/vona2/detail/110100142110/?HissuCode=CBS6-12" TargetMode="External" /><ns0:Relationship Id="rIdBomLink60" Type="http://schemas.openxmlformats.org/officeDocument/2006/relationships/hyperlink" Target="https://kr.misumi-ec.com/vona2/detail/110500152560/?HissuCode=MRB-300" TargetMode="External" /><ns0:Relationship Id="rIdBomLink61" Type="http://schemas.openxmlformats.org/officeDocument/2006/relationships/hyperlink" Target="https://kr.misumi-ec.com/vona2/detail/110302677870/?HissuCode=CIMR6-10-0.1" TargetMode="External" /><ns0:Relationship Id="rIdBomLink62" Type="http://schemas.openxmlformats.org/officeDocument/2006/relationships/hyperlink" Target="https://kr.misumi-ec.com/vona2/detail/110302677870/?HissuCode=CIMR6-10-0.5" TargetMode="External" /><ns0:Relationship Id="rIdBomLink63" Type="http://schemas.openxmlformats.org/officeDocument/2006/relationships/hyperlink" Target="https://kr.misumi-ec.com/vona2/detail/110302063110/?HissuCode=ENBT-100-100-5" TargetMode="External" /><ns0:Relationship Id="rIdBomLink64" Type="http://schemas.openxmlformats.org/officeDocument/2006/relationships/hyperlink" Target="https://kr.misumi-ec.com/vona2/detail/110100141750/?HissuCode=CB6-25" TargetMode="External" /><ns0:Relationship Id="rIdBomLink65" Type="http://schemas.openxmlformats.org/officeDocument/2006/relationships/hyperlink" Target="https://kr.misumi-ec.com/vona2/detail/110302677010/?HissuCode=WSSB10-6-5" TargetMode="External" /><ns0:Relationship Id="rIdBomLink66" Type="http://schemas.openxmlformats.org/officeDocument/2006/relationships/hyperlink" Target="https://kr.misumi-ec.com/vona2/detail/110100141750/?HissuCode=CB8-25" TargetMode="External" /><ns0:Relationship Id="rIdBomLink67" Type="http://schemas.openxmlformats.org/officeDocument/2006/relationships/hyperlink" Target="https://kr.misumi-ec.com/vona2/detail/110302677010/?HissuCode=WSSB12-8-5" TargetMode="External" /><ns0:Relationship Id="rIdBomLink68" Type="http://schemas.openxmlformats.org/officeDocument/2006/relationships/hyperlink" Target="https://meviy.misumi-ec.com/ko-kr/app/fa/3dview/001HDRRPFT/partsview/001HEFCCUC?partIds=001HEFCCUC" TargetMode="External" /><ns0:Relationship Id="rIdBomLink69" Type="http://schemas.openxmlformats.org/officeDocument/2006/relationships/hyperlink" Target="https://meviy.misumi-ec.com/ko-kr/app/fa/3dview/001HDRVE6L/partsview/001HEEXVDI?partIds=001HEEXVDI" TargetMode="External" /><ns0:Relationship Id="rIdBomLink70" Type="http://schemas.openxmlformats.org/officeDocument/2006/relationships/hyperlink" Target="https://meviy.misumi-ec.com/ko-kr/app/fa/3dview/001HDQCIQT/partsview/001HEFESXT?partIds=001HEFESXT" TargetMode="External" /><ns0:Relationship Id="rIdBomLink71" Type="http://schemas.openxmlformats.org/officeDocument/2006/relationships/hyperlink" Target="https://meviy.misumi-ec.com/ko-kr/app/fa/3dview/001HDQBPG4/partsview/001HEEXT3O?partIds=001HEEXT3O" TargetMode="External" /><ns0:Relationship Id="rIdBomLink72" Type="http://schemas.openxmlformats.org/officeDocument/2006/relationships/hyperlink" Target="https://www.digikey.kr/ko/products/detail/finder-relays-inc/22-32-0-024-4320/10055786" TargetMode="External" /><ns0:Relationship Id="rIdBomLink73" Type="http://schemas.openxmlformats.org/officeDocument/2006/relationships/hyperlink" Target="https://actiworks.co.kr/goods/goods_view.php?goodsNo=1000028596" TargetMode="External" /><ns0:Relationship Id="rIdBomLink74" Type="http://schemas.openxmlformats.org/officeDocument/2006/relationships/hyperlink" Target="https://item.gmarket.co.kr/Item?goodsCode=3973625857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defaultRowHeight="14.25"/>
  <cols>
    <col min="2" max="2" width="16" customWidth="1"/>
    <col min="3" max="3" width="20.875" customWidth="1"/>
    <col min="4" max="4" width="33.375" customWidth="1"/>
    <col min="5" max="5" width="40" customWidth="1"/>
    <col min="6" max="6" width="4.75" customWidth="1"/>
    <col min="7" max="7" width="48" hidden="0" customWidth="1"/>
    <col min="8" max="8" width="16" customWidth="1"/>
    <col min="9" max="9" width="68" hidden="0" customWidth="1"/>
  </cols>
  <sheetData>
    <row r="1" ht="24">
      <c r="B1" s="8" t="str">
        <v>Rev F 수평유지장치 BOM — 구매처 통합 (2026-10-07)</v>
      </c>
      <c r="C1" s="8"/>
      <c r="D1" s="8"/>
      <c r="E1" s="8"/>
      <c r="F1" s="8"/>
      <c r="G1" s="8"/>
      <c r="H1" s="8"/>
      <c r="I1" s="8"/>
    </row>
    <row r="2" ht="15">
      <c r="B2" s="1" t="s">
        <v>0</v>
      </c>
      <c r="C2" s="1"/>
      <c r="D2" s="1"/>
      <c r="E2" s="1"/>
      <c r="F2" s="1"/>
      <c r="G2" s="1" t="str">
        <v>7개 품목 구매처 변경 / 나비엠알오 14개 유지 / 장바구니 미변경</v>
      </c>
      <c r="H2" s="1" t="s">
        <v>1</v>
      </c>
      <c r="I2" s="7">
        <v>4000000</v>
      </c>
    </row>
    <row r="3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82" customHeight="1">
      <c r="B4" s="23" t="str">
        <v>재료비 구매</v>
      </c>
      <c r="C4" s="23" t="str">
        <v>나비엠알오</v>
      </c>
      <c r="D4" s="23" t="str">
        <v>하부 4040 프로파일 700 mm</v>
      </c>
      <c r="E4" s="23" t="str">
        <v>K92787708</v>
      </c>
      <c r="F4" s="23" t="n">
        <v>2</v>
      </c>
      <c r="G4" s="24" t="str">
        <v>https://www.navimro.com/p/K92787708/</v>
      </c>
      <c r="H4" s="35" t="n">
        <v>39980</v>
      </c>
      <c r="I4" s="22" t="str">
        <v>S01. 하부 프레임 장변. 공장 절단품.</v>
      </c>
    </row>
    <row r="5" ht="82" customHeight="1">
      <c r="B5" s="23" t="str">
        <v>재료비 구매</v>
      </c>
      <c r="C5" s="23" t="str">
        <v>나비엠알오</v>
      </c>
      <c r="D5" s="23" t="str">
        <v>하부 4040 프로파일 620 mm</v>
      </c>
      <c r="E5" s="23" t="str">
        <v>K92787705</v>
      </c>
      <c r="F5" s="23" t="n">
        <v>4</v>
      </c>
      <c r="G5" s="24" t="str">
        <v>https://www.navimro.com/p/K92787705/</v>
      </c>
      <c r="H5" s="35" t="n">
        <v>71960</v>
      </c>
      <c r="I5" s="22" t="str">
        <v>S02. 하부 프레임 단변·가로대. 공장 절단품.</v>
      </c>
    </row>
    <row r="6" ht="82" customHeight="1">
      <c r="B6" s="23" t="str">
        <v>재료비 구매</v>
      </c>
      <c r="C6" s="23" t="str">
        <v>나비엠알오</v>
      </c>
      <c r="D6" s="23" t="str">
        <v>40시리즈 직각 브래킷</v>
      </c>
      <c r="E6" s="23" t="str">
        <v>K92782553</v>
      </c>
      <c r="F6" s="23" t="n">
        <v>8</v>
      </c>
      <c r="G6" s="24" t="str">
        <v>https://www.navimro.com/p/K92782553/</v>
      </c>
      <c r="H6" s="35" t="n">
        <v>6640</v>
      </c>
      <c r="I6" s="22" t="str">
        <v>S05. 하부 프레임 코너 체결.</v>
      </c>
    </row>
    <row r="7" ht="82" customHeight="1">
      <c r="B7" s="23" t="str">
        <v>재료비 구매</v>
      </c>
      <c r="C7" s="23" t="str">
        <v>나비엠알오</v>
      </c>
      <c r="D7" s="23" t="str">
        <v>M8×16 육각렌치볼트</v>
      </c>
      <c r="E7" s="23" t="str">
        <v>K53536280</v>
      </c>
      <c r="F7" s="23" t="n">
        <v>1</v>
      </c>
      <c r="G7" s="24" t="str">
        <v>https://www.navimro.com/p/K53536280/</v>
      </c>
      <c r="H7" s="35" t="n">
        <v>6890</v>
      </c>
      <c r="I7" s="22" t="str">
        <v>F01. 하부 프레임 브래킷 체결용 포장.</v>
      </c>
    </row>
    <row r="8" ht="82" customHeight="1">
      <c r="B8" s="23" t="str">
        <v>재료비 구매</v>
      </c>
      <c r="C8" s="23" t="str">
        <v>나비엠알오</v>
      </c>
      <c r="D8" s="23" t="str">
        <v>M8×20 육각렌치볼트</v>
      </c>
      <c r="E8" s="23" t="str">
        <v>K53536553</v>
      </c>
      <c r="F8" s="23" t="n">
        <v>1</v>
      </c>
      <c r="G8" s="24" t="str">
        <v>https://www.navimro.com/p/K53536553/</v>
      </c>
      <c r="H8" s="35" t="n">
        <v>6690</v>
      </c>
      <c r="I8" s="22" t="str">
        <v>F03. 하부 어댑터판의 Ø9 홀을 통해 프로파일 너트에 체결.</v>
      </c>
    </row>
    <row r="9" ht="82" customHeight="1">
      <c r="B9" s="23" t="str">
        <v>재료비 구매</v>
      </c>
      <c r="C9" s="23" t="str">
        <v>나비엠알오</v>
      </c>
      <c r="D9" s="23" t="str">
        <v>M8 평와셔</v>
      </c>
      <c r="E9" s="23" t="str">
        <v>K06130485</v>
      </c>
      <c r="F9" s="23" t="n">
        <v>1</v>
      </c>
      <c r="G9" s="24" t="str">
        <v>https://www.navimro.com/p/K06130485/</v>
      </c>
      <c r="H9" s="35" t="n">
        <v>4590</v>
      </c>
      <c r="I9" s="22" t="str">
        <v>F04. LMB-10 높이 보정 및 하부 판 체결용.</v>
      </c>
    </row>
    <row r="10" ht="82" customHeight="1">
      <c r="B10" s="23" t="str">
        <v>재료비 구매</v>
      </c>
      <c r="C10" s="23" t="str">
        <v>나비엠알오</v>
      </c>
      <c r="D10" s="23" t="str">
        <v>LMB-10 하부 M8×12 육각볼트</v>
      </c>
      <c r="E10" s="23" t="str">
        <v>K15696523 / M8×12</v>
      </c>
      <c r="F10" s="23" t="n">
        <v>6</v>
      </c>
      <c r="G10" s="24" t="str">
        <v>https://www.navimro.com/p/K15696523/</v>
      </c>
      <c r="H10" s="35" t="n">
        <v>3000</v>
      </c>
      <c r="I10" s="22" t="str">
        <v>F05. 축당 2개. 8 mm 판의 M8 탭에 체결.</v>
      </c>
    </row>
    <row r="11" ht="82" customHeight="1">
      <c r="B11" s="23" t="str">
        <v>재료비 구매</v>
      </c>
      <c r="C11" s="23" t="str">
        <v>나비엠알오</v>
      </c>
      <c r="D11" s="23" t="str">
        <v>40시리즈 M8 스프링너트</v>
      </c>
      <c r="E11" s="23" t="str">
        <v>K14671419</v>
      </c>
      <c r="F11" s="23" t="n">
        <v>1</v>
      </c>
      <c r="G11" s="24" t="str">
        <v>https://www.navimro.com/p/K14671419/</v>
      </c>
      <c r="H11" s="35" t="n">
        <v>22990</v>
      </c>
      <c r="I11" s="22" t="str">
        <v>F06. 기존 포장 유지. 하부 프레임·A1~A3 외 하부센서 장착 M8 슬롯너트 2개 배정. 3030용 E-SPN306과 혼용하지 않음.</v>
      </c>
    </row>
    <row r="12" ht="82" customHeight="1">
      <c r="B12" s="23" t="str">
        <v>재료비 구매</v>
      </c>
      <c r="C12" s="23" t="str">
        <v>나비엠알오</v>
      </c>
      <c r="D12" s="23" t="str">
        <v>중강도 나사고정제</v>
      </c>
      <c r="E12" s="23" t="str">
        <v>K64647607</v>
      </c>
      <c r="F12" s="23" t="n">
        <v>1</v>
      </c>
      <c r="G12" s="24" t="str">
        <v>https://www.navimro.com/p/K64647607/</v>
      </c>
      <c r="H12" s="35" t="n">
        <v>8990</v>
      </c>
      <c r="I12" s="22" t="str">
        <v>F17. CBS6-12와 PHS6 암나사 체결부에 소량 사용.</v>
      </c>
    </row>
    <row r="13" ht="82" customHeight="1">
      <c r="B13" s="23" t="str">
        <v>재료비 구매</v>
      </c>
      <c r="C13" s="23" t="str">
        <v>나비엠알오</v>
      </c>
      <c r="D13" s="23" t="str">
        <v>M4×25 더블샘스볼트</v>
      </c>
      <c r="E13" s="23" t="str">
        <v>K14364804</v>
      </c>
      <c r="F13" s="23" t="n">
        <v>1</v>
      </c>
      <c r="G13" s="24" t="str">
        <v>https://www.navimro.com/p/K14364804/</v>
      </c>
      <c r="H13" s="35" t="n">
        <v>16490</v>
      </c>
      <c r="I13" s="22" t="str">
        <v>F18. 기존 포장 유지. 플라스틱 속판 외에 HWT905 고정 6개 사용(M4×25, 센서 귀4+PVC5 관통), 볼트 머리는 판 아래. 공구 차용, 금속 볼트 절단 금지.</v>
      </c>
    </row>
    <row r="14" ht="82" customHeight="1">
      <c r="B14" s="23" t="str">
        <v>재료비 구매</v>
      </c>
      <c r="C14" s="23" t="str">
        <v>나비엠알오</v>
      </c>
      <c r="D14" s="23" t="str">
        <v>M4 육각너트</v>
      </c>
      <c r="E14" s="23" t="str">
        <v>K06130054</v>
      </c>
      <c r="F14" s="23" t="n">
        <v>1</v>
      </c>
      <c r="G14" s="24" t="str">
        <v>https://www.navimro.com/p/K06130054/</v>
      </c>
      <c r="H14" s="35" t="n">
        <v>1390</v>
      </c>
      <c r="I14" s="22" t="str">
        <v>F19. 기존 포장 유지. HWT905 2대에 M4 너트 6개 추가 사용. 포장 수량에서 속판용과 함께 배정.</v>
      </c>
    </row>
    <row r="15" ht="82" customHeight="1">
      <c r="B15" s="23" t="str">
        <v>재료비 구매</v>
      </c>
      <c r="C15" s="23" t="str">
        <v>나비엠알오</v>
      </c>
      <c r="D15" s="25" t="str">
        <v>열수축튜브 키트</v>
      </c>
      <c r="E15" s="25" t="str">
        <v>K52569152</v>
      </c>
      <c r="F15" s="25" t="n">
        <v>1</v>
      </c>
      <c r="G15" s="26" t="str">
        <v>https://www.navimro.com/p/K52569152/</v>
      </c>
      <c r="H15" s="36" t="n">
        <v>10990</v>
      </c>
      <c r="I15" s="28" t="str">
        <v>E17. 기존 열수축 튜브 키트 유지(공급가10,990원). 미스미 EA944BH-21은55,670원으로 약5배여서 이번 통합에서 제외. 절연 보조·표시 마감용.</v>
      </c>
    </row>
    <row r="16" ht="82" customHeight="1">
      <c r="B16" s="23" t="str">
        <v>재료비 구매</v>
      </c>
      <c r="C16" s="23" t="str">
        <v>나비엠알오</v>
      </c>
      <c r="D16" s="25" t="str">
        <v>녹/황 보호접지선</v>
      </c>
      <c r="E16" s="25" t="str">
        <v>K55027039</v>
      </c>
      <c r="F16" s="25" t="n">
        <v>3</v>
      </c>
      <c r="G16" s="26" t="str">
        <v>https://www.navimro.com/p/K55027039/</v>
      </c>
      <c r="H16" s="36" t="n">
        <v>3870</v>
      </c>
      <c r="I16" s="28" t="str">
        <v>E23. 기존 녹/황 TFR-GV 2.5SQ, 1m 단위3개 유지. RSP FG 등 보호접지 경로. 디바이스마트 후보는 제목2.5SQ/설명2.0SQ 불일치로 제외. 본 행 금액은 기존 BOM 가격이며 결제 시 갱신.</v>
      </c>
    </row>
    <row r="17" ht="82" customHeight="1">
      <c r="B17" s="23" t="str">
        <v>재료비 구매</v>
      </c>
      <c r="C17" s="23" t="str">
        <v>나비엠알오</v>
      </c>
      <c r="D17" s="25" t="str">
        <v>DMC-200 축별 분기 케이블</v>
      </c>
      <c r="E17" s="25" t="str">
        <v>14 AWG 실리콘 전선 세트 / K92854706</v>
      </c>
      <c r="F17" s="25" t="n">
        <v>1</v>
      </c>
      <c r="G17" s="26" t="str">
        <v>https://www.navimro.com/p/K92854706/</v>
      </c>
      <c r="H17" s="36" t="n">
        <v>74990</v>
      </c>
      <c r="I17" s="28" t="str">
        <v>E15B. 기존14AWG 실리콘 세트 유지. DMC-200 6A 제한×3축 24V 분기용; 공통 주전원4SQ 대체 아님. 디바이스마트 FIT0583은 적/흑 각1m·해외배송으로 구성/납기 불리. 본 행은 기존 가격.</v>
      </c>
    </row>
    <row r="18" ht="82" customHeight="1">
      <c r="B18" s="29" t="str">
        <v>재료비 구매</v>
      </c>
      <c r="C18" s="29" t="str">
        <v>디바이스마트</v>
      </c>
      <c r="D18" s="25" t="str">
        <v>24AWG 제어전선 세트</v>
      </c>
      <c r="E18" s="25" t="str">
        <v>CBAZY UL1007 24AWG 6색 60M / 12375531</v>
      </c>
      <c r="F18" s="25" t="n">
        <v>1</v>
      </c>
      <c r="G18" s="26" t="str">
        <v>https://www.devicemart.co.kr/goods/view?no=12375531</v>
      </c>
      <c r="H18" s="36" t="n">
        <v>24000</v>
      </c>
      <c r="I18" s="28" t="str">
        <v>E16. 6색×10m=60m 연선 제어선 키트. 공급가24,000원(VAT 포함26,400원). 평균1~2일; 품절 시4주 안내. 버튼·알림·엔코더 저전류용. 모터·AC 주전원 및 RS485 통신 케이블 대체 금지.</v>
      </c>
    </row>
    <row r="19" ht="82" customHeight="1">
      <c r="B19" s="29" t="str">
        <v>재료비 구매</v>
      </c>
      <c r="C19" s="29" t="str">
        <v>디바이스마트</v>
      </c>
      <c r="D19" s="29" t="str">
        <v>페룰 단자 세트 (압착공구 없음)</v>
      </c>
      <c r="E19" s="29" t="str">
        <v>PVMC PV2 / 16055797</v>
      </c>
      <c r="F19" s="29" t="n">
        <v>1</v>
      </c>
      <c r="G19" s="30" t="str">
        <v>https://www.devicemart.co.kr/goods/view?no=16055797</v>
      </c>
      <c r="H19" s="37" t="n">
        <v>8000</v>
      </c>
      <c r="I19" s="32" t="str">
        <v>E19. E2508(14AWG), E4009(4SQ) 포함 1,200개. 공구 미포함: 0.25~6SQ용 전용 압착기 차용. WAGO는 페룰·납땜 없이 연선 직접 삽입. 평균 1주.</v>
      </c>
    </row>
    <row r="20" ht="82" customHeight="1">
      <c r="B20" s="29" t="str">
        <v>재료비 구매</v>
      </c>
      <c r="C20" s="29" t="str">
        <v>디바이스마트</v>
      </c>
      <c r="D20" s="29" t="str">
        <v>주전원 KIV 4SQ 적색 2 m</v>
      </c>
      <c r="E20" s="29" t="str">
        <v>KIV 4.0SQ 빨강 / 7182</v>
      </c>
      <c r="F20" s="29" t="n">
        <v>2</v>
      </c>
      <c r="G20" s="30" t="str">
        <v>https://www.devicemart.co.kr/goods/view?no=7182</v>
      </c>
      <c r="H20" s="37" t="n">
        <v>8400</v>
      </c>
      <c r="I20" s="32" t="str">
        <v>E15A-R. 1m 단위 2개, 2m 한 줄 절단 옵션 선택. 4,200원/m, 평균 1~2일. 20A 주전원 경로. 절단품 반품 불가.</v>
      </c>
    </row>
    <row r="21" ht="82" customHeight="1">
      <c r="B21" s="29" t="str">
        <v>재료비 구매</v>
      </c>
      <c r="C21" s="29" t="str">
        <v>디바이스마트</v>
      </c>
      <c r="D21" s="29" t="str">
        <v>주전원 리드 접속 레버 커넥터</v>
      </c>
      <c r="E21" s="29" t="str">
        <v>WAGO 221-615 / 14954324</v>
      </c>
      <c r="F21" s="29" t="n">
        <v>5</v>
      </c>
      <c r="G21" s="30" t="str">
        <v>https://www.devicemart.co.kr/goods/view?no=14954324</v>
      </c>
      <c r="H21" s="37" t="n">
        <v>10500</v>
      </c>
      <c r="I21" s="32" t="str">
        <v>E24. 2개 사용+최소주문 잔여 3개. 0.5~6SQ 연선, 14AWG↔4SQ 각 구멍에 한 가닥. 20A 퓨즈 유지. 2,100원/개, 평균 1주. 공구 불필요.</v>
      </c>
    </row>
    <row r="22" ht="82" customHeight="1">
      <c r="B22" s="29" t="str">
        <v>재료비 구매</v>
      </c>
      <c r="C22" s="29" t="str">
        <v>디바이스마트</v>
      </c>
      <c r="D22" s="29" t="str">
        <v>24 V 주 전원공급기</v>
      </c>
      <c r="E22" s="29" t="str">
        <v>RSP-750-24 / 13232167</v>
      </c>
      <c r="F22" s="29" t="n">
        <v>1</v>
      </c>
      <c r="G22" s="30" t="str">
        <v>https://www.devicemart.co.kr/goods/view?no=13232167</v>
      </c>
      <c r="H22" s="37" t="n">
        <v>272300</v>
      </c>
      <c r="I22" s="32" t="str">
        <v>E04. 24 V, 31.3 A. 출력 전체가 아니라 20 A 주퓨즈 이후만 모터계통에 사용.</v>
      </c>
    </row>
    <row r="23" ht="82" customHeight="1">
      <c r="B23" s="29" t="str">
        <v>재료비 구매</v>
      </c>
      <c r="C23" s="29" t="str">
        <v>디바이스마트</v>
      </c>
      <c r="D23" s="29" t="str">
        <v>밀폐형 ATO 인라인 퓨즈홀더</v>
      </c>
      <c r="E23" s="29" t="str">
        <v>Littelfuse 01550300Z / 8994457</v>
      </c>
      <c r="F23" s="29" t="n">
        <v>5</v>
      </c>
      <c r="G23" s="30" t="str">
        <v>https://www.devicemart.co.kr/goods/view?no=8994457</v>
      </c>
      <c r="H23" s="37" t="n">
        <v>54900</v>
      </c>
      <c r="I23" s="32" t="str">
        <v>E09A. 32 VDC, 20 A. 주 1개·축 3개·제어 1개.</v>
      </c>
    </row>
    <row r="24" ht="82" customHeight="1">
      <c r="B24" s="29" t="str">
        <v>재료비 구매</v>
      </c>
      <c r="C24" s="29" t="str">
        <v>디바이스마트</v>
      </c>
      <c r="D24" s="29" t="str">
        <v>주전원 ATO 퓨즈 20 A</v>
      </c>
      <c r="E24" s="29" t="str">
        <v>11512 / AUTO-FUSE 32V 20A</v>
      </c>
      <c r="F24" s="29" t="n">
        <v>10</v>
      </c>
      <c r="G24" s="30" t="str">
        <v>https://www.devicemart.co.kr/goods/view?no=11512</v>
      </c>
      <c r="H24" s="37" t="n">
        <v>1000</v>
      </c>
      <c r="I24" s="32" t="str">
        <v>E09M. 최소주문 10개, 100원/개. 1개 사용+9개 잔여. 32V ATO, 20A 홀더의 정격을 초과하는 퓨즈로 올리지 않음. 평균 1~2일.</v>
      </c>
    </row>
    <row r="25" ht="82" customHeight="1">
      <c r="B25" s="29" t="str">
        <v>재료비 구매</v>
      </c>
      <c r="C25" s="29" t="str">
        <v>디바이스마트</v>
      </c>
      <c r="D25" s="29" t="str">
        <v>액추에이터 분기 ATO 퓨즈 10 A</v>
      </c>
      <c r="E25" s="29" t="str">
        <v>11510 / AUTO-FUSE 32V 10A</v>
      </c>
      <c r="F25" s="29" t="n">
        <v>10</v>
      </c>
      <c r="G25" s="30" t="str">
        <v>https://www.devicemart.co.kr/goods/view?no=11510</v>
      </c>
      <c r="H25" s="37" t="n">
        <v>1000</v>
      </c>
      <c r="I25" s="32" t="str">
        <v>E09B. 축당 1개. DMC-200 전류제한은 6.0 A로 시작.</v>
      </c>
    </row>
    <row r="26" ht="82" customHeight="1">
      <c r="B26" s="29" t="str">
        <v>재료비 구매</v>
      </c>
      <c r="C26" s="29" t="str">
        <v>디바이스마트</v>
      </c>
      <c r="D26" s="29" t="str">
        <v>제어전원 ATO 퓨즈 5 A</v>
      </c>
      <c r="E26" s="29" t="str">
        <v>11509 / AUTO-FUSE 32V 5A</v>
      </c>
      <c r="F26" s="29" t="n">
        <v>10</v>
      </c>
      <c r="G26" s="30" t="str">
        <v>https://www.devicemart.co.kr/goods/view?no=11509</v>
      </c>
      <c r="H26" s="37" t="n">
        <v>1000</v>
      </c>
      <c r="I26" s="32" t="str">
        <v>E09C. Portenta·DDR·접촉기 코일 제어분기.</v>
      </c>
    </row>
    <row r="27" ht="82" customHeight="1">
      <c r="B27" s="29" t="str">
        <v>재료비 구매</v>
      </c>
      <c r="C27" s="29" t="str">
        <v>디바이스마트</v>
      </c>
      <c r="D27" s="29" t="str">
        <v>비상정지 스위치</v>
      </c>
      <c r="E27" s="29" t="str">
        <v>KGE-C4R2R / 10895022</v>
      </c>
      <c r="F27" s="29" t="n">
        <v>1</v>
      </c>
      <c r="G27" s="30" t="str">
        <v>https://www.devicemart.co.kr/goods/view?no=10895022</v>
      </c>
      <c r="H27" s="37" t="n">
        <v>6600</v>
      </c>
      <c r="I27" s="32" t="str">
        <v>E10. NC 접점으로 Finder 코일만 차단. 모터전류 직접 차단 금지.</v>
      </c>
    </row>
    <row r="28" ht="82" customHeight="1">
      <c r="B28" s="29" t="str">
        <v>재료비 구매</v>
      </c>
      <c r="C28" s="29" t="str">
        <v>디바이스마트</v>
      </c>
      <c r="D28" s="29" t="str">
        <v>START 순간버튼 녹색</v>
      </c>
      <c r="E28" s="29" t="str">
        <v>KGF-CM1G / 10894246</v>
      </c>
      <c r="F28" s="29" t="n">
        <v>1</v>
      </c>
      <c r="G28" s="30" t="str">
        <v>https://www.devicemart.co.kr/goods/view?no=10894246</v>
      </c>
      <c r="H28" s="37" t="n">
        <v>4000</v>
      </c>
      <c r="I28" s="32" t="str">
        <v>E13. NO 접점. Finder 두 번째 NO와 병렬로 자기유지.</v>
      </c>
    </row>
    <row r="29" ht="82" customHeight="1">
      <c r="B29" s="29" t="str">
        <v>재료비 구매</v>
      </c>
      <c r="C29" s="29" t="str">
        <v>디바이스마트</v>
      </c>
      <c r="D29" s="29" t="str">
        <v>DIN 전원분배블록</v>
      </c>
      <c r="E29" s="29" t="str">
        <v>DKD35-P001 / 16043939</v>
      </c>
      <c r="F29" s="29" t="n">
        <v>2</v>
      </c>
      <c r="G29" s="30" t="str">
        <v>https://www.devicemart.co.kr/goods/view?no=16043939</v>
      </c>
      <c r="H29" s="37" t="n">
        <v>30400</v>
      </c>
      <c r="I29" s="32" t="str">
        <v>E14. 1개는 접촉기 이후 +24 V 모터분배, 1개는 공통 0 V.</v>
      </c>
    </row>
    <row r="30" ht="82" customHeight="1">
      <c r="B30" s="29" t="str">
        <v>재료비 구매</v>
      </c>
      <c r="C30" s="29" t="str">
        <v>디바이스마트</v>
      </c>
      <c r="D30" s="29" t="str">
        <v>DIN DC-DC 전원</v>
      </c>
      <c r="E30" s="29" t="str">
        <v>DDR-15G-12 / 11269545</v>
      </c>
      <c r="F30" s="29" t="n">
        <v>1</v>
      </c>
      <c r="G30" s="30" t="str">
        <v>https://www.devicemart.co.kr/goods/view?no=11269545</v>
      </c>
      <c r="H30" s="37" t="n">
        <v>31500</v>
      </c>
      <c r="I30" s="32" t="str">
        <v>E12. 24 V→12 V/1.25 A. ZMEC485DI와 HWT905 2대 전원.</v>
      </c>
    </row>
    <row r="31" ht="82" customHeight="1">
      <c r="B31" s="29" t="str">
        <v>재료비 구매</v>
      </c>
      <c r="C31" s="29" t="str">
        <v>디바이스마트</v>
      </c>
      <c r="D31" s="29" t="str">
        <v>2P 누전차단기</v>
      </c>
      <c r="E31" s="29" t="str">
        <v>LS EBE32FB 2P 10A 30mA / 15085668</v>
      </c>
      <c r="F31" s="29" t="n">
        <v>1</v>
      </c>
      <c r="G31" s="30" t="str">
        <v>https://www.devicemart.co.kr/goods/view?no=15085668</v>
      </c>
      <c r="H31" s="37" t="n">
        <v>30000</v>
      </c>
      <c r="I31" s="32" t="str">
        <v>E08. RSP AC 입력 전단. 실제 판매가·재고는 결제 화면에서 갱신.</v>
      </c>
    </row>
    <row r="32" ht="82" customHeight="1">
      <c r="B32" s="29" t="str">
        <v>재료비 구매</v>
      </c>
      <c r="C32" s="29" t="str">
        <v>디바이스마트</v>
      </c>
      <c r="D32" s="29" t="str">
        <v>Portenta Machine Control</v>
      </c>
      <c r="E32" s="29" t="str">
        <v>AKX00032 / 13963538</v>
      </c>
      <c r="F32" s="29" t="n">
        <v>1</v>
      </c>
      <c r="G32" s="30" t="str">
        <v>https://www.devicemart.co.kr/goods/view?no=13963538</v>
      </c>
      <c r="H32" s="37" t="n">
        <v>496970</v>
      </c>
      <c r="I32" s="32" t="str">
        <v>PC01. J5 RS-485는 DMC-200 3대 전용. J7은 온도센서 단자.</v>
      </c>
    </row>
    <row r="33" ht="82" customHeight="1">
      <c r="B33" s="29" t="str">
        <v>재료비 구매</v>
      </c>
      <c r="C33" s="29" t="str">
        <v>디바이스마트</v>
      </c>
      <c r="D33" s="29" t="str">
        <v>저전류 제어선 레버 커넥터 (25개입)</v>
      </c>
      <c r="E33" s="29" t="str">
        <v>WAGO 221-415 / 14954315 / 25EA</v>
      </c>
      <c r="F33" s="29" t="n">
        <v>1</v>
      </c>
      <c r="G33" s="30" t="str">
        <v>https://www.devicemart.co.kr/goods/view?no=14954315</v>
      </c>
      <c r="H33" s="37" t="n">
        <v>34000</v>
      </c>
      <c r="I33" s="32" t="str">
        <v>E25. 0.14~4SQ 연선. 24AWG 제어선은 이 제품 사용(221-615 최소 0.5SQ 미달). 1팩=25개, 평균 1주.</v>
      </c>
    </row>
    <row r="34" ht="82" customHeight="1">
      <c r="B34" s="29" t="str">
        <v>재료비 구매</v>
      </c>
      <c r="C34" s="29" t="str">
        <v>디바이스마트</v>
      </c>
      <c r="D34" s="29" t="str">
        <v>차폐 3쌍 통신 케이블</v>
      </c>
      <c r="E34" s="29" t="str">
        <v>광일전선 UL2919 / 3P×24AWG / 13352</v>
      </c>
      <c r="F34" s="29" t="n">
        <v>6</v>
      </c>
      <c r="G34" s="30" t="str">
        <v>https://www.devicemart.co.kr/goods/view?no=13352</v>
      </c>
      <c r="H34" s="37" t="n">
        <v>21000</v>
      </c>
      <c r="I34" s="32" t="str">
        <v>CB01. DMC 버스·HWT 버스를 물리적으로 분리.</v>
      </c>
    </row>
    <row r="35" ht="82" customHeight="1">
      <c r="B35" s="29" t="str">
        <v>재료비 구매</v>
      </c>
      <c r="C35" s="29" t="str">
        <v>디바이스마트</v>
      </c>
      <c r="D35" s="29" t="str">
        <v>RS-485 종단저항</v>
      </c>
      <c r="E35" s="29" t="str">
        <v>120Ω 1/4W 1% / 1997</v>
      </c>
      <c r="F35" s="29" t="n">
        <v>10</v>
      </c>
      <c r="G35" s="30" t="str">
        <v>https://www.devicemart.co.kr/goods/view?no=1997</v>
      </c>
      <c r="H35" s="37" t="n">
        <v>400</v>
      </c>
      <c r="I35" s="32" t="str">
        <v>RT01. 각 RS-485 버스의 물리적 양 끝에만 적용.</v>
      </c>
    </row>
    <row r="36" ht="82" customHeight="1">
      <c r="B36" s="29" t="str">
        <v>재료비 구매</v>
      </c>
      <c r="C36" s="29" t="str">
        <v>디바이스마트</v>
      </c>
      <c r="D36" s="29" t="str">
        <v>Portenta–ZMEC Ethernet 케이블</v>
      </c>
      <c r="E36" s="29" t="str">
        <v>Anyport AP-6UTP-2M(G) / 10932540</v>
      </c>
      <c r="F36" s="29" t="n">
        <v>1</v>
      </c>
      <c r="G36" s="30" t="str">
        <v>https://www.devicemart.co.kr/goods/view?no=10932540</v>
      </c>
      <c r="H36" s="37" t="n">
        <v>1200</v>
      </c>
      <c r="I36" s="32" t="str">
        <v>CB02. HWT905 Modbus TCP 경로.</v>
      </c>
    </row>
    <row r="37" ht="82" customHeight="1">
      <c r="B37" s="29" t="str">
        <v>재료비 구매</v>
      </c>
      <c r="C37" s="29" t="str">
        <v>디바이스마트</v>
      </c>
      <c r="D37" s="29" t="str">
        <v>Portenta 프로그래밍 USB 케이블</v>
      </c>
      <c r="E37" s="29" t="str">
        <v>USB-A to Micro-B C3886 / 1061716</v>
      </c>
      <c r="F37" s="29" t="n">
        <v>1</v>
      </c>
      <c r="G37" s="30" t="str">
        <v>https://www.devicemart.co.kr/goods/view?no=1061716</v>
      </c>
      <c r="H37" s="37" t="n">
        <v>2500</v>
      </c>
      <c r="I37" s="32" t="str">
        <v>CB03. 펌웨어 업로드용.</v>
      </c>
    </row>
    <row r="38" ht="82" customHeight="1">
      <c r="B38" s="29" t="str">
        <v>재료비 구매</v>
      </c>
      <c r="C38" s="29" t="str">
        <v>디바이스마트</v>
      </c>
      <c r="D38" s="29" t="str">
        <v>RSP-750-24 섀시 고정나사</v>
      </c>
      <c r="E38" s="29" t="str">
        <v>M4×6 / 10912091</v>
      </c>
      <c r="F38" s="29" t="n">
        <v>10</v>
      </c>
      <c r="G38" s="30" t="str">
        <v>https://www.devicemart.co.kr/goods/view?no=10912091</v>
      </c>
      <c r="H38" s="37" t="n">
        <v>300</v>
      </c>
      <c r="I38" s="32" t="str">
        <v>F20. RSP 지정 탭 깊이 이내에서만 사용.</v>
      </c>
    </row>
    <row r="39" ht="82" customHeight="1">
      <c r="B39" s="29" t="str">
        <v>재료비 구매</v>
      </c>
      <c r="C39" s="29" t="str">
        <v>디바이스마트</v>
      </c>
      <c r="D39" s="29" t="str">
        <v>주전원 KIV 4SQ 검정 2 m</v>
      </c>
      <c r="E39" s="29" t="str">
        <v>KIV 4.0SQ 검정 / 7181</v>
      </c>
      <c r="F39" s="29" t="n">
        <v>2</v>
      </c>
      <c r="G39" s="30" t="str">
        <v>https://www.devicemart.co.kr/goods/view?no=7181</v>
      </c>
      <c r="H39" s="37" t="n">
        <v>8400</v>
      </c>
      <c r="I39" s="32" t="str">
        <v>E15A-B. 1m 단위 2개, 2m 한 줄 절단 옵션. 4,200원/m, 평균 1~2일. 공통 0V.</v>
      </c>
    </row>
    <row r="40" ht="82" customHeight="1">
      <c r="B40" s="23" t="str">
        <v>재료비 구매</v>
      </c>
      <c r="C40" s="23" t="str">
        <v>모터뱅크</v>
      </c>
      <c r="D40" s="23" t="str">
        <v>광학엔코더 리니어 액추에이터</v>
      </c>
      <c r="E40" s="23" t="str">
        <v>LM4075OE-1075 / 24 V / 100 mm / 5 V / 6 ppr</v>
      </c>
      <c r="F40" s="23" t="n">
        <v>3</v>
      </c>
      <c r="G40" s="24" t="str">
        <v>https://www.motorbank.kr/goods/goods_view.php?goodsNo=1000035578</v>
      </c>
      <c r="H40" s="35" t="n">
        <v>345000</v>
      </c>
      <c r="I40" s="22" t="str">
        <v>M01. 24 V·100 mm·5 V 엔코더 옵션. 기준점 +15 mm, 명령 최대 50 mm; CAD 간섭 시 35 mm로 제한.</v>
      </c>
    </row>
    <row r="41" ht="82" customHeight="1">
      <c r="B41" s="23" t="str">
        <v>재료비 구매</v>
      </c>
      <c r="C41" s="23" t="str">
        <v>모터뱅크</v>
      </c>
      <c r="D41" s="23" t="str">
        <v>하부 피벗 브래킷</v>
      </c>
      <c r="E41" s="23" t="str">
        <v>LMB-10 / 1000007655</v>
      </c>
      <c r="F41" s="23" t="n">
        <v>3</v>
      </c>
      <c r="G41" s="24" t="str">
        <v>https://www.motorbank.kr/goods/goods_view.php?goodsNo=1000007655</v>
      </c>
      <c r="H41" s="35" t="n">
        <v>12000</v>
      </c>
      <c r="I41" s="22" t="str">
        <v>M02. 동봉 핀/R클립 수량을 수령 즉시 확인.</v>
      </c>
    </row>
    <row r="42" ht="82" customHeight="1">
      <c r="B42" s="23" t="str">
        <v>재료비 구매</v>
      </c>
      <c r="C42" s="23" t="str">
        <v>모터뱅크</v>
      </c>
      <c r="D42" s="23" t="str">
        <v>엔코더 위치제어 드라이버</v>
      </c>
      <c r="E42" s="23" t="str">
        <v>DMC-200 / 1000008040</v>
      </c>
      <c r="F42" s="23" t="n">
        <v>3</v>
      </c>
      <c r="G42" s="24" t="str">
        <v>https://www.motorbank.kr/goods/goods_view.php?goodsNo=1000008040</v>
      </c>
      <c r="H42" s="35" t="n">
        <v>257400</v>
      </c>
      <c r="I42" s="22" t="str">
        <v>DC01. 축별 1대, ID 1/2/3. 위치·속도 제어 전류제한 6.0 A 초기값.</v>
      </c>
    </row>
    <row r="43" ht="82" customHeight="1">
      <c r="B43" s="29" t="str">
        <v>재료비 구매</v>
      </c>
      <c r="C43" s="29" t="str">
        <v>한국미스미</v>
      </c>
      <c r="D43" s="25" t="str">
        <v>ABS 전장함</v>
      </c>
      <c r="E43" s="25" t="str">
        <v>BC-AGP-507025</v>
      </c>
      <c r="F43" s="25" t="n">
        <v>1</v>
      </c>
      <c r="G43" s="26" t="str">
        <v>https://kr.misumi-ec.com/vona2/detail/110400233420/?HissuCode=BC-AGP-507025</v>
      </c>
      <c r="H43" s="36" t="n">
        <v>91620</v>
      </c>
      <c r="I43" s="28" t="str">
        <v>E06A. 동일 BOXCO 모델, 530×730×255mm. 플라스틱 타공만 허용. 속판 별도 E06B. 10/7 확인 91,620원/개(VAT 별도), 참고 10/15 출하·재고0. 구매처만 변경.</v>
      </c>
    </row>
    <row r="44" ht="82" customHeight="1">
      <c r="B44" s="29" t="str">
        <v>재료비 구매</v>
      </c>
      <c r="C44" s="29" t="str">
        <v>한국미스미</v>
      </c>
      <c r="D44" s="25" t="str">
        <v>전장함 플라스틱 속판</v>
      </c>
      <c r="E44" s="25" t="str">
        <v>5070P</v>
      </c>
      <c r="F44" s="25" t="n">
        <v>1</v>
      </c>
      <c r="G44" s="26" t="str">
        <v>https://kr.misumi-ec.com/vona2/detail/222005921564/?HissuCode=5070P</v>
      </c>
      <c r="H44" s="36" t="n">
        <v>11770</v>
      </c>
      <c r="I44" s="28" t="str">
        <v>E06B. 동일 BOXCO 플라스틱 속판, 460×660mm. E06A용. 10/7 확인 11,770원/개(VAT 별도), 참고 10/15 출하·재고0. 기존 설계품 변경 없음.</v>
      </c>
    </row>
    <row r="45" ht="82" customHeight="1">
      <c r="B45" s="29" t="str">
        <v>재료비 구매</v>
      </c>
      <c r="C45" s="29" t="str">
        <v>한국미스미</v>
      </c>
      <c r="D45" s="25" t="str">
        <v>접지 전원코드</v>
      </c>
      <c r="E45" s="25" t="str">
        <v>DYP-G16B-B-3M-1.5</v>
      </c>
      <c r="F45" s="25" t="n">
        <v>1</v>
      </c>
      <c r="G45" s="26" t="str">
        <v>https://kr.misumi-ec.com/vona2/detail/222005934085/?HissuCode=DYP-G16B-B-3M-1.5</v>
      </c>
      <c r="H45" s="36" t="n">
        <v>5376</v>
      </c>
      <c r="I45" s="28" t="str">
        <v>E07. 동양 KS 접지 코드, 250V/16A, IEC53 1.5SQ×3C, 흑색3m. 최소1개. 10/7 표시 할인 공급가5,376원, 재고품 1일째. 단말 피복 제거·필요 압착 후 기존 AC 입력 결선, PE→RSP FG. 할인 변동 가능.</v>
      </c>
    </row>
    <row r="46" ht="82" customHeight="1">
      <c r="B46" s="29" t="str">
        <v>재료비 구매</v>
      </c>
      <c r="C46" s="29" t="str">
        <v>한국미스미</v>
      </c>
      <c r="D46" s="25" t="str">
        <v>PG13.5 케이블 글랜드 (낱개)</v>
      </c>
      <c r="E46" s="25" t="str">
        <v>BC-PG13.5L-G-N</v>
      </c>
      <c r="F46" s="25" t="n">
        <v>10</v>
      </c>
      <c r="G46" s="26" t="str">
        <v>https://kr.misumi-ec.com/vona2/detail/222302627938/?HissuCode=BC-PG13.5L-G-N</v>
      </c>
      <c r="H46" s="36" t="n">
        <v>4700</v>
      </c>
      <c r="I46" s="28" t="str">
        <v>E18. BOXCO PG13.5, 케이블 외경6~11mm, 나사길이15mm, D1=20.4mm. 낱개470원×10개=4,700원. 기존10개입 수량 유지. 10/7 재고2/최대45, 참고10/12(수량10 납기는 주문 시 확인). 기존품6~12mm보다 상한1mm 작음: 실제 외경 확인 후 플라스틱 타공. 소선 여러 가닥 밀봉용 아님.</v>
      </c>
    </row>
    <row r="47" ht="82" customHeight="1">
      <c r="B47" s="29" t="str">
        <v>재료비 구매</v>
      </c>
      <c r="C47" s="29" t="str">
        <v>한국미스미</v>
      </c>
      <c r="D47" s="25" t="str">
        <v>케이블 타이 200mm (100개입)</v>
      </c>
      <c r="E47" s="25" t="str">
        <v>NMT-200KTW / 100EA</v>
      </c>
      <c r="F47" s="25" t="n">
        <v>1</v>
      </c>
      <c r="G47" s="26" t="str">
        <v>https://kr.misumi-ec.com/vona2/detail/222301892638/?HissuCode=NMT-200KTW</v>
      </c>
      <c r="H47" s="36" t="n">
        <v>3080</v>
      </c>
      <c r="I47" s="28" t="str">
        <v>E20. NETMATE 백색 4.8×200mm, 1팩=100개. 10/7 공급가3,080원, 참고4일째. 기존 동일 치수 흑색1,000개입에서 실내 PoC용100개입으로 축소. 체결부 하중 지지용으로 사용하지 않음.</v>
      </c>
    </row>
    <row r="48" ht="82" customHeight="1">
      <c r="B48" s="29" t="str">
        <v>재료비 구매</v>
      </c>
      <c r="C48" s="29" t="str">
        <v>한국미스미</v>
      </c>
      <c r="D48" s="25" t="str">
        <v>PVC 절연테이프</v>
      </c>
      <c r="E48" s="25" t="str">
        <v>KS-ELETAPE-016MM-19MM-10M-BLACK</v>
      </c>
      <c r="F48" s="25" t="n">
        <v>3</v>
      </c>
      <c r="G48" s="26" t="str">
        <v>https://kr.misumi-ec.com/vona2/detail/223006497889/?HissuCode=KS-ELETAPE-016MM-19MM-10M-BLACK</v>
      </c>
      <c r="H48" s="36" t="n">
        <v>1170</v>
      </c>
      <c r="I48" s="28" t="str">
        <v>E21. 태영 KS PVC 전기절연테이프 흑색, 0.16×19mm×10m. 최소1롤, 390원×3롤=1,170원(VAT 별도). 재고품1일째. 보조 절연·표시용; 주전원 접속은 지정 단자 사용.</v>
      </c>
    </row>
    <row r="49" ht="82" customHeight="1">
      <c r="B49" s="29" t="str">
        <v>재료비 구매</v>
      </c>
      <c r="C49" s="29" t="str">
        <v>한국미스미</v>
      </c>
      <c r="D49" s="29" t="str">
        <v>상부 로드엔드 (2개입/포장)</v>
      </c>
      <c r="E49" s="29" t="str">
        <v>TRUSCO PHS6 / 280-7599</v>
      </c>
      <c r="F49" s="29" t="n">
        <v>2</v>
      </c>
      <c r="G49" s="30" t="str">
        <v>https://kr.misumi-ec.com/vona2/detail/221005504380/?HissuCode=PHS6</v>
      </c>
      <c r="H49" s="37" t="n">
        <v>26124</v>
      </c>
      <c r="I49" s="32" t="str">
        <v>M03. 2개입 2팩, 총 4개. 2026-10-04 미스미 장바구니 공급가 26,124원 확인.</v>
      </c>
    </row>
    <row r="50" ht="82" customHeight="1">
      <c r="B50" s="29" t="str">
        <v>재료비 구매</v>
      </c>
      <c r="C50" s="29" t="str">
        <v>한국미스미</v>
      </c>
      <c r="D50" s="29" t="str">
        <v>상부 3030 프로파일 700 mm</v>
      </c>
      <c r="E50" s="29" t="str">
        <v>E-DNF3030-700</v>
      </c>
      <c r="F50" s="29" t="n">
        <v>2</v>
      </c>
      <c r="G50" s="30" t="str">
        <v>https://kr.misumi-ec.com/vona2/detail/110311379609/?HissuCode=E-DNF3030-700</v>
      </c>
      <c r="H50" s="37" t="n">
        <v>15260</v>
      </c>
      <c r="I50" s="32" t="str">
        <v>S03. 30/60 국내규격, 공장 절단 700mm. 기존 -6-는 주문 형번 오류로 삭제. 7,630원/개, 참고 10/13 출하. 단면/길이 변경 없음.</v>
      </c>
    </row>
    <row r="51" ht="82" customHeight="1">
      <c r="B51" s="29" t="str">
        <v>재료비 구매</v>
      </c>
      <c r="C51" s="29" t="str">
        <v>한국미스미</v>
      </c>
      <c r="D51" s="29" t="str">
        <v>상부 3030 프로파일 640 mm</v>
      </c>
      <c r="E51" s="29" t="str">
        <v>E-DNF3030-640</v>
      </c>
      <c r="F51" s="29" t="n">
        <v>4</v>
      </c>
      <c r="G51" s="30" t="str">
        <v>https://kr.misumi-ec.com/vona2/detail/110311379609/?HissuCode=E-DNF3030-640</v>
      </c>
      <c r="H51" s="37" t="n">
        <v>27904</v>
      </c>
      <c r="I51" s="32" t="str">
        <v>S04. 30/60 국내규격, 공장 절단 640mm. 6,976원/개, 참고 10/13 출하. 단면/길이 변경 없음.</v>
      </c>
    </row>
    <row r="52" ht="82" customHeight="1">
      <c r="B52" s="29" t="str">
        <v>재료비 구매</v>
      </c>
      <c r="C52" s="29" t="str">
        <v>한국미스미</v>
      </c>
      <c r="D52" s="29" t="str">
        <v>3030용 M6 스프링너트</v>
      </c>
      <c r="E52" s="29" t="str">
        <v>E-SPN306</v>
      </c>
      <c r="F52" s="29" t="n">
        <v>24</v>
      </c>
      <c r="G52" s="30" t="str">
        <v>https://kr.misumi-ec.com/vona2/detail/110311380239/?HissuCode=E-SPN306</v>
      </c>
      <c r="H52" s="37" t="n">
        <v>5040</v>
      </c>
      <c r="I52" s="32" t="str">
        <v>F07. 코너 16+상부판 6+상부센서 2=24개。하부 4040 센서는 기존 K14671419의 M8 너트 2개 사용. 최소주문 10, 210원/개.</v>
      </c>
    </row>
    <row r="53" ht="82" customHeight="1">
      <c r="B53" s="29" t="str">
        <v>재료비 구매</v>
      </c>
      <c r="C53" s="29" t="str">
        <v>한국미스미</v>
      </c>
      <c r="D53" s="29" t="str">
        <v>3030 직각 브래킷</v>
      </c>
      <c r="E53" s="29" t="str">
        <v>E-DCBK3025</v>
      </c>
      <c r="F53" s="29" t="n">
        <v>8</v>
      </c>
      <c r="G53" s="30" t="str">
        <v>https://kr.misumi-ec.com/vona2/detail/110311380419/?HissuCode=E-DCBK3025</v>
      </c>
      <c r="H53" s="37" t="n">
        <v>3200</v>
      </c>
      <c r="I53" s="32" t="str">
        <v>S06. 상부 프레임 코너 체결.</v>
      </c>
    </row>
    <row r="54" ht="82" customHeight="1">
      <c r="B54" s="29" t="str">
        <v>재료비 구매</v>
      </c>
      <c r="C54" s="29" t="str">
        <v>한국미스미</v>
      </c>
      <c r="D54" s="29" t="str">
        <v>M6×12 육각렌치볼트</v>
      </c>
      <c r="E54" s="29" t="str">
        <v>CB6-12</v>
      </c>
      <c r="F54" s="29" t="n">
        <v>16</v>
      </c>
      <c r="G54" s="30" t="str">
        <v>https://kr.misumi-ec.com/vona2/detail/110100141750/?HissuCode=CB6-12</v>
      </c>
      <c r="H54" s="37" t="n">
        <v>3840</v>
      </c>
      <c r="I54" s="32" t="str">
        <v>F02A. E-DCBK3025 체결.</v>
      </c>
    </row>
    <row r="55" ht="82" customHeight="1">
      <c r="B55" s="29" t="str">
        <v>재료비 구매</v>
      </c>
      <c r="C55" s="29" t="str">
        <v>한국미스미</v>
      </c>
      <c r="D55" s="29" t="str">
        <v>M6×18 육각렌치볼트</v>
      </c>
      <c r="E55" s="29" t="str">
        <v>CB6-18</v>
      </c>
      <c r="F55" s="29" t="n">
        <v>6</v>
      </c>
      <c r="G55" s="30" t="str">
        <v>https://kr.misumi-ec.com/vona2/detail/110100141750/?HissuCode=CB6-18</v>
      </c>
      <c r="H55" s="37" t="n">
        <v>1560</v>
      </c>
      <c r="I55" s="32" t="str">
        <v>F02B. 9mm 판+3030 슬롯립 2.5mm 기준 공칭 나사 진입 6.5mm. 최종 체결 시 슬롯 바닥에 닿지 않는지 확인.</v>
      </c>
    </row>
    <row r="56" ht="82" customHeight="1">
      <c r="B56" s="29" t="str">
        <v>재료비 구매</v>
      </c>
      <c r="C56" s="29" t="str">
        <v>한국미스미</v>
      </c>
      <c r="D56" s="29" t="str">
        <v>상부 피벗 핀 (E링 동봉)</v>
      </c>
      <c r="E56" s="29" t="str">
        <v>HCDGH6-40</v>
      </c>
      <c r="F56" s="29" t="n">
        <v>3</v>
      </c>
      <c r="G56" s="30" t="str">
        <v>https://kr.misumi-ec.com/vona2/detail/110300095750/?HissuCode=HCDGH6-40</v>
      </c>
      <c r="H56" s="37" t="n">
        <v>6306</v>
      </c>
      <c r="I56" s="32" t="str">
        <v>F08. 40mm 유효길이, E링 동봉. 4+아이20+1.5+볼9+4+얇은심 명목1=39.5mm. 실측 축방향 유격 0.2~0.5mm로 심 조절. 2,102원/개. 강도 향상 의미 아님.</v>
      </c>
    </row>
    <row r="57" ht="82" customHeight="1">
      <c r="B57" s="29" t="str">
        <v>재료비 구매</v>
      </c>
      <c r="C57" s="29" t="str">
        <v>한국미스미</v>
      </c>
      <c r="D57" s="29" t="str">
        <v>핀 머리·E링쪽 스페이서 와셔</v>
      </c>
      <c r="E57" s="29" t="str">
        <v>WSSB10-6-4</v>
      </c>
      <c r="F57" s="29" t="n">
        <v>6</v>
      </c>
      <c r="G57" s="30" t="str">
        <v>https://kr.misumi-ec.com/vona2/detail/110302677010/?HissuCode=WSSB10-6-4</v>
      </c>
      <c r="H57" s="37" t="n">
        <v>8820</v>
      </c>
      <c r="I57" s="32" t="str">
        <v>F08A. 축당 머리쪽 1+E링쪽 1=2개, 총 6개. OD10/ID6/T4. 아이–볼 중심 편심 16mm 유지. 1,470원/개.</v>
      </c>
    </row>
    <row r="58" ht="82" customHeight="1">
      <c r="B58" s="29" t="str">
        <v>재료비 구매</v>
      </c>
      <c r="C58" s="29" t="str">
        <v>한국미스미</v>
      </c>
      <c r="D58" s="29" t="str">
        <v>볼쪽 스페이서 와셔</v>
      </c>
      <c r="E58" s="29" t="str">
        <v>WSSB10-6-1.5</v>
      </c>
      <c r="F58" s="29" t="n">
        <v>5</v>
      </c>
      <c r="G58" s="30" t="str">
        <v>https://kr.misumi-ec.com/vona2/detail/110302677010/?HissuCode=WSSB10-6-1.5</v>
      </c>
      <c r="H58" s="37" t="n">
        <v>7350</v>
      </c>
      <c r="I58" s="32" t="str">
        <v>F08B. 관절 볼쪽 3개+상부센서 M6 볼트 머리 밑 2개. 하부센서는 기존 M8 평와셔 사용. OD10/ID6/T1.5, 1,470원/개.</v>
      </c>
    </row>
    <row r="59" ht="82" customHeight="1">
      <c r="B59" s="29" t="str">
        <v>재료비 구매</v>
      </c>
      <c r="C59" s="29" t="str">
        <v>한국미스미</v>
      </c>
      <c r="D59" s="29" t="str">
        <v>PHS6 포획 저두볼트</v>
      </c>
      <c r="E59" s="29" t="str">
        <v>CBS6-12</v>
      </c>
      <c r="F59" s="29" t="n">
        <v>3</v>
      </c>
      <c r="G59" s="30" t="str">
        <v>https://kr.misumi-ec.com/vona2/detail/110100142110/?HissuCode=CBS6-12</v>
      </c>
      <c r="H59" s="37" t="n">
        <v>2013</v>
      </c>
      <c r="I59" s="32" t="str">
        <v>F12. 중앙 Ø11×4.5 카운터보어의 잔여 판두께 4.5mm. PHS6 공칭 물림 12−4.5=7.5mm(기존 약9mm 표기 정정), 나사고정제 소량.</v>
      </c>
    </row>
    <row r="60" ht="82" customHeight="1">
      <c r="B60" s="29" t="str">
        <v>재료비 구매</v>
      </c>
      <c r="C60" s="29" t="str">
        <v>한국미스미</v>
      </c>
      <c r="D60" s="29" t="str">
        <v>DIN 레일 300 mm 완제품</v>
      </c>
      <c r="E60" s="29" t="str">
        <v>MRB-300</v>
      </c>
      <c r="F60" s="29" t="n">
        <v>3</v>
      </c>
      <c r="G60" s="30" t="str">
        <v>https://kr.misumi-ec.com/vona2/detail/110500152560/?HissuCode=MRB-300</v>
      </c>
      <c r="H60" s="37" t="n">
        <v>49095</v>
      </c>
      <c r="I60" s="32" t="str">
        <v>E22. 300mm 완제품×3, 금속 절단 없음. 기존 5,000원/개 추정 정정→16,365원/개. 10/7 참고 10/14 출하, 최대주문50/재고0/판매종료예정 경고. 결제 시 공급 가능 여부 확인.</v>
      </c>
    </row>
    <row r="61" ht="82" customHeight="1">
      <c r="B61" s="29" t="str">
        <v>재료비 구매</v>
      </c>
      <c r="C61" s="29" t="str">
        <v>한국미스미</v>
      </c>
      <c r="D61" s="29" t="str">
        <v>상부 핀 미세조정 심 0.1mm</v>
      </c>
      <c r="E61" s="29" t="str">
        <v>CIMR6-10-0.1</v>
      </c>
      <c r="F61" s="29" t="n">
        <v>9</v>
      </c>
      <c r="G61" s="30" t="str">
        <v>https://kr.misumi-ec.com/vona2/detail/110302677870/?HissuCode=CIMR6-10-0.1</v>
      </c>
      <c r="H61" s="37" t="n">
        <v>6300</v>
      </c>
      <c r="I61" s="32" t="str">
        <v>F08C. 축당 최대 3개(0.3mm), 필요한 만큼만 삽입. 700원/개, 참고 10/13 출하.</v>
      </c>
    </row>
    <row r="62" ht="82" customHeight="1">
      <c r="B62" s="29" t="str">
        <v>재료비 구매</v>
      </c>
      <c r="C62" s="29" t="str">
        <v>한국미스미</v>
      </c>
      <c r="D62" s="29" t="str">
        <v>상부 핀 미세조정 심 0.5mm</v>
      </c>
      <c r="E62" s="29" t="str">
        <v>CIMR6-10-0.5</v>
      </c>
      <c r="F62" s="29" t="n">
        <v>12</v>
      </c>
      <c r="G62" s="30" t="str">
        <v>https://kr.misumi-ec.com/vona2/detail/110302677870/?HissuCode=CIMR6-10-0.5</v>
      </c>
      <c r="H62" s="37" t="n">
        <v>8400</v>
      </c>
      <c r="I62" s="32" t="str">
        <v>F08D. 축당 최대 4개(2mm). 명목은 2개 사용. 700원/개, 실측 0.2~0.5mm 유격 우선.</v>
      </c>
    </row>
    <row r="63" ht="82" customHeight="1">
      <c r="B63" s="29" t="str">
        <v>재료비 구매</v>
      </c>
      <c r="C63" s="29" t="str">
        <v>한국미스미</v>
      </c>
      <c r="D63" s="29" t="str">
        <v>상·하부 센서 장착용 PVC 판</v>
      </c>
      <c r="E63" s="29" t="str">
        <v>ENBT-100-100-5</v>
      </c>
      <c r="F63" s="29" t="n">
        <v>2</v>
      </c>
      <c r="G63" s="30" t="str">
        <v>https://kr.misumi-ec.com/vona2/detail/110302063110/?HissuCode=ENBT-100-100-5</v>
      </c>
      <c r="H63" s="37" t="n">
        <v>32140</v>
      </c>
      <c r="I63" s="32" t="str">
        <v>IS03. 100×100×5, 상하 각1장. 플라스틱 타공만 수행. 16,070원/개, 참고 10/14 출하. 센서 Ø4.2×3+프레임 관통홀×2.</v>
      </c>
    </row>
    <row r="64" ht="82" customHeight="1">
      <c r="B64" s="29" t="str">
        <v>재료비 구매</v>
      </c>
      <c r="C64" s="29" t="str">
        <v>한국미스미</v>
      </c>
      <c r="D64" s="29" t="str">
        <v>상부센서 M6×25 볼트</v>
      </c>
      <c r="E64" s="29" t="str">
        <v>CB6-25</v>
      </c>
      <c r="F64" s="29" t="n">
        <v>2</v>
      </c>
      <c r="G64" s="30" t="str">
        <v>https://kr.misumi-ec.com/vona2/detail/110100141750/?HissuCode=CB6-25</v>
      </c>
      <c r="H64" s="37" t="n">
        <v>650</v>
      </c>
      <c r="I64" s="32" t="str">
        <v>IS04. 상부 3030용 2개. PVC5+간격재10+와셔1.5+립2.5, 공칭 나사진입6mm. 325원/개.</v>
      </c>
    </row>
    <row r="65" ht="82" customHeight="1">
      <c r="B65" s="29" t="str">
        <v>재료비 구매</v>
      </c>
      <c r="C65" s="29" t="str">
        <v>한국미스미</v>
      </c>
      <c r="D65" s="29" t="str">
        <v>상부센서 5mm 기성 간격재</v>
      </c>
      <c r="E65" s="29" t="str">
        <v>WSSB10-6-5</v>
      </c>
      <c r="F65" s="29" t="n">
        <v>4</v>
      </c>
      <c r="G65" s="30" t="str">
        <v>https://kr.misumi-ec.com/vona2/detail/110302677010/?HissuCode=WSSB10-6-5</v>
      </c>
      <c r="H65" s="37" t="n">
        <v>5840</v>
      </c>
      <c r="I65" s="32" t="str">
        <v>IS05. 상부 2곳×각2개=4개, 높이10mm. 1,460원/개. 하부 4040은 M8 별도 간격재 사용.</v>
      </c>
    </row>
    <row r="66" ht="82" customHeight="1">
      <c r="B66" s="29" t="str">
        <v>재료비 구매</v>
      </c>
      <c r="C66" s="29" t="str">
        <v>한국미스미</v>
      </c>
      <c r="D66" s="29" t="str">
        <v>하부센서 M8×25 볼트</v>
      </c>
      <c r="E66" s="29" t="str">
        <v>CB8-25</v>
      </c>
      <c r="F66" s="29" t="n">
        <v>2</v>
      </c>
      <c r="G66" s="30" t="str">
        <v>https://kr.misumi-ec.com/vona2/detail/110100141750/?HissuCode=CB8-25</v>
      </c>
      <c r="H66" s="37" t="n">
        <v>1040</v>
      </c>
      <c r="I66" s="32" t="str">
        <v>IS06. 하부 4040용 2개. PVC5+간격재10+기존 M8 와셔. 기존 M8 슬롯너트 사용。520원/개, 참고 10/8 출하. 나사 바닥 접촉·판 휨 없이 체결.</v>
      </c>
    </row>
    <row r="67" ht="82" customHeight="1">
      <c r="B67" s="29" t="str">
        <v>재료비 구매</v>
      </c>
      <c r="C67" s="29" t="str">
        <v>한국미스미</v>
      </c>
      <c r="D67" s="29" t="str">
        <v>하부센서 5mm 기성 간격재</v>
      </c>
      <c r="E67" s="29" t="str">
        <v>WSSB12-8-5</v>
      </c>
      <c r="F67" s="29" t="n">
        <v>4</v>
      </c>
      <c r="G67" s="30" t="str">
        <v>https://kr.misumi-ec.com/vona2/detail/110302677010/?HissuCode=WSSB12-8-5</v>
      </c>
      <c r="H67" s="37" t="n">
        <v>5840</v>
      </c>
      <c r="I67" s="32" t="str">
        <v>IS07. 하부 2곳×각2개=4개, 높이10mm. OD12/ID8. 1,460원/개.</v>
      </c>
    </row>
    <row r="68" ht="82" customHeight="1">
      <c r="B68" s="23" t="str">
        <v>재료비 구매</v>
      </c>
      <c r="C68" s="23" t="str">
        <v>한국미스미 meviy</v>
      </c>
      <c r="D68" s="23" t="str">
        <v>상부 PHS6 직접체결판 완성품 60×30×9</v>
      </c>
      <c r="E68" s="23" t="str">
        <v>MVBLK-ASN-4NX-8UHCW</v>
      </c>
      <c r="F68" s="23" t="n">
        <v>3</v>
      </c>
      <c r="G68" s="24" t="str">
        <v>https://meviy.misumi-ec.com/ko-kr/app/fa/3dview/001HDRRPFT/partsview/001HEFCCUC?partIds=001HEFCCUC</v>
      </c>
      <c r="H68" s="35" t="n">
        <v>71184</v>
      </c>
      <c r="I68" s="22" t="str">
        <v>UP01. AL6061, Ø6.6 관통 3개·중앙 상면 Ø11×4.5 카운터보어. 23,728원/개×3. 10/15 출하 표시. 재질 열처리상태 미표기.</v>
      </c>
    </row>
    <row r="69" ht="82" customHeight="1">
      <c r="B69" s="23" t="str">
        <v>재료비 구매</v>
      </c>
      <c r="C69" s="23" t="str">
        <v>한국미스미 meviy</v>
      </c>
      <c r="D69" s="23" t="str">
        <v>A1 하부 어댑터판 완성품 120×70×8</v>
      </c>
      <c r="E69" s="23" t="str">
        <v>MVBLK-ASN-4NX-MBY1F</v>
      </c>
      <c r="F69" s="23" t="n">
        <v>1</v>
      </c>
      <c r="G69" s="24" t="str">
        <v>https://meviy.misumi-ec.com/ko-kr/app/fa/3dview/001HDRVE6L/partsview/001HEEXVDI?partIds=001HEEXVDI</v>
      </c>
      <c r="H69" s="35" t="n">
        <v>35342</v>
      </c>
      <c r="I69" s="22" t="str">
        <v>C01. AL6061, M8×1.25 관통탭 2개·Ø9 관통 2개. 2026-10-04 장바구니 견적, 10/15 출하 표시.</v>
      </c>
    </row>
    <row r="70" ht="82" customHeight="1">
      <c r="B70" s="23" t="str">
        <v>재료비 구매</v>
      </c>
      <c r="C70" s="23" t="str">
        <v>한국미스미 meviy</v>
      </c>
      <c r="D70" s="23" t="str">
        <v>A2 하부 어댑터판 완성품 120×70×8</v>
      </c>
      <c r="E70" s="23" t="str">
        <v>MVBLK-ASN-4NX-7TGEL</v>
      </c>
      <c r="F70" s="23" t="n">
        <v>1</v>
      </c>
      <c r="G70" s="24" t="str">
        <v>https://meviy.misumi-ec.com/ko-kr/app/fa/3dview/001HDQCIQT/partsview/001HEFESXT?partIds=001HEFESXT</v>
      </c>
      <c r="H70" s="35" t="n">
        <v>35342</v>
      </c>
      <c r="I70" s="22" t="str">
        <v>C02. AL6061, M8×1.25 관통탭 2개·Ø9 관통 2개. A1과 홀 좌표가 다름. 10/15 출하 표시.</v>
      </c>
    </row>
    <row r="71" ht="82" customHeight="1">
      <c r="B71" s="23" t="str">
        <v>재료비 구매</v>
      </c>
      <c r="C71" s="23" t="str">
        <v>한국미스미 meviy</v>
      </c>
      <c r="D71" s="23" t="str">
        <v>A3 하부 어댑터판 완성품 120×70×8</v>
      </c>
      <c r="E71" s="23" t="str">
        <v>MVBLK-ASN-4NX-1YMXR</v>
      </c>
      <c r="F71" s="23" t="n">
        <v>1</v>
      </c>
      <c r="G71" s="24" t="str">
        <v>https://meviy.misumi-ec.com/ko-kr/app/fa/3dview/001HDQBPG4/partsview/001HEEXT3O?partIds=001HEEXT3O</v>
      </c>
      <c r="H71" s="35" t="n">
        <v>35342</v>
      </c>
      <c r="I71" s="22" t="str">
        <v>C03. AL6061, M8×1.25 관통탭 2개·Ø9 관통 2개. A1/A2와 홀 좌표가 다름. 10/15 출하 표시.</v>
      </c>
    </row>
    <row r="72" ht="82" customHeight="1">
      <c r="B72" s="29" t="str">
        <v>재료비 구매</v>
      </c>
      <c r="C72" s="29" t="str">
        <v>Digi-Key Korea</v>
      </c>
      <c r="D72" s="29" t="str">
        <v>24 VDC 모터전원 접촉기</v>
      </c>
      <c r="E72" s="29" t="str">
        <v>Finder 22.32.0.024.4320</v>
      </c>
      <c r="F72" s="29" t="n">
        <v>1</v>
      </c>
      <c r="G72" s="30" t="str">
        <v>https://www.digikey.kr/ko/products/detail/finder-relays-inc/22-32-0-024-4320/10055786</v>
      </c>
      <c r="H72" s="37" t="n">
        <v>65302</v>
      </c>
      <c r="I72" s="32" t="str">
        <v>E11. 2NO, 24VAC/DC 코일, 30VDC DC-1 25A. 1극 20A 모터전원·1극 자기유지. 10/7 표시 65,302원, 재고 783개. 공인 안전릴레이 아님.</v>
      </c>
    </row>
    <row r="73" ht="82" customHeight="1">
      <c r="B73" s="23" t="str">
        <v>재료비 구매</v>
      </c>
      <c r="C73" s="23" t="str">
        <v>액티웍스</v>
      </c>
      <c r="D73" s="23" t="str">
        <v>절연 Ethernet–RS485 게이트웨이</v>
      </c>
      <c r="E73" s="23" t="str">
        <v>ZMEC485DI / 1000028596</v>
      </c>
      <c r="F73" s="23" t="n">
        <v>1</v>
      </c>
      <c r="G73" s="24" t="str">
        <v>https://actiworks.co.kr/goods/goods_view.php?goodsNo=1000028596</v>
      </c>
      <c r="H73" s="35" t="n">
        <v>76364</v>
      </c>
      <c r="I73" s="22" t="str">
        <v>SG01. HWT905 두 대 전용 Modbus TCP↔RTU. DMC 프로토콜에는 사용하지 않음.</v>
      </c>
    </row>
    <row r="74" ht="82" customHeight="1">
      <c r="B74" s="29" t="str">
        <v>재료비 구매</v>
      </c>
      <c r="C74" s="29" t="str">
        <v>G마켓 케이일레븐홀딩스</v>
      </c>
      <c r="D74" s="29" t="str">
        <v>상·하부 절대 경사센서</v>
      </c>
      <c r="E74" s="29" t="str">
        <v>HWT905-RS485 / 3973625857 / 옵션03</v>
      </c>
      <c r="F74" s="29" t="n">
        <v>2</v>
      </c>
      <c r="G74" s="30" t="str">
        <v>https://item.gmarket.co.kr/Item?goodsCode=3973625857</v>
      </c>
      <c r="H74" s="37" t="n">
        <v>331871</v>
      </c>
      <c r="I74" s="32" t="str">
        <v>IS01/02. 12 V 공급, Modbus ID를 한 대씩 0x50/0x51로 설정한 뒤 병렬 연결.</v>
      </c>
    </row>
    <row r="75" ht="44" customHeight="1">
      <c r="B75" s="33" t="s">
        <v>10</v>
      </c>
      <c r="C75" s="33"/>
      <c r="D75" s="33"/>
      <c r="E75" s="33"/>
      <c r="F75" s="33"/>
      <c r="G75" s="33"/>
      <c r="H75" s="38" t="n">
        <f>SUM(H4:H74)</f>
        <v>2927415</v>
      </c>
      <c r="I75" s="33" t="str">
        <v>10/7 대체품 표시 가격+기타 기존 BOM 가격. 확정 결제액 아님.</v>
      </c>
    </row>
    <row r="76" ht="44" customHeight="1">
      <c r="B76" s="33" t="s">
        <v>11</v>
      </c>
      <c r="C76" s="33"/>
      <c r="D76" s="33"/>
      <c r="E76" s="33"/>
      <c r="F76" s="33"/>
      <c r="G76" s="33"/>
      <c r="H76" s="38" t="n">
        <f>ROUND(H75*10%,0)</f>
        <v>292742</v>
      </c>
      <c r="I76" s="33" t="str">
        <v>사이트별 반올림·배송비 차이 있음.</v>
      </c>
    </row>
    <row r="77" ht="44" customHeight="1">
      <c r="B77" s="33" t="s">
        <v>12</v>
      </c>
      <c r="C77" s="33"/>
      <c r="D77" s="33"/>
      <c r="E77" s="33"/>
      <c r="F77" s="33"/>
      <c r="G77" s="33"/>
      <c r="H77" s="38" t="n">
        <f>SUM(H75:H76)</f>
        <v>3220157</v>
      </c>
      <c r="I77" s="33" t="str">
        <v>배송비 제외. 구매처 변경7건, 추가 금속 가공 없음.</v>
      </c>
    </row>
    <row r="78" ht="44" customHeight="1">
      <c r="B78" s="33" t="s">
        <v>13</v>
      </c>
      <c r="C78" s="33"/>
      <c r="D78" s="33"/>
      <c r="E78" s="33"/>
      <c r="F78" s="33"/>
      <c r="G78" s="33"/>
      <c r="H78" s="38" t="n">
        <f>$I$2-H77</f>
        <v>779843</v>
      </c>
      <c r="I78" s="33" t="str">
        <v>타이100개입 축소 반영. 공구는 기존 차용 방침 유지.</v>
      </c>
    </row>
  </sheetData>
  <mergeCells>
    <mergeCell ref="B1:I1"/>
  </mergeCells>
  <hyperlinks>
    <hyperlink ref="G4" r:id="rIdBomLink4"/>
    <hyperlink ref="G5" r:id="rIdBomLink5"/>
    <hyperlink ref="G6" r:id="rIdBomLink6"/>
    <hyperlink ref="G7" r:id="rIdBomLink7"/>
    <hyperlink ref="G8" r:id="rIdBomLink8"/>
    <hyperlink ref="G9" r:id="rIdBomLink9"/>
    <hyperlink ref="G10" r:id="rIdBomLink10"/>
    <hyperlink ref="G11" r:id="rIdBomLink11"/>
    <hyperlink ref="G12" r:id="rIdBomLink12"/>
    <hyperlink ref="G13" r:id="rIdBomLink13"/>
    <hyperlink ref="G14" r:id="rIdBomLink14"/>
    <hyperlink ref="G15" r:id="rIdBomLink15"/>
    <hyperlink ref="G16" r:id="rIdBomLink16"/>
    <hyperlink ref="G17" r:id="rIdBomLink17"/>
    <hyperlink ref="G18" r:id="rIdBomLink18"/>
    <hyperlink ref="G19" r:id="rIdBomLink19"/>
    <hyperlink ref="G20" r:id="rIdBomLink20"/>
    <hyperlink ref="G21" r:id="rIdBomLink21"/>
    <hyperlink ref="G22" r:id="rIdBomLink22"/>
    <hyperlink ref="G23" r:id="rIdBomLink23"/>
    <hyperlink ref="G24" r:id="rIdBomLink24"/>
    <hyperlink ref="G25" r:id="rIdBomLink25"/>
    <hyperlink ref="G26" r:id="rIdBomLink26"/>
    <hyperlink ref="G27" r:id="rIdBomLink27"/>
    <hyperlink ref="G28" r:id="rIdBomLink28"/>
    <hyperlink ref="G29" r:id="rIdBomLink29"/>
    <hyperlink ref="G30" r:id="rIdBomLink30"/>
    <hyperlink ref="G31" r:id="rIdBomLink31"/>
    <hyperlink ref="G32" r:id="rIdBomLink32"/>
    <hyperlink ref="G33" r:id="rIdBomLink33"/>
    <hyperlink ref="G34" r:id="rIdBomLink34"/>
    <hyperlink ref="G35" r:id="rIdBomLink35"/>
    <hyperlink ref="G36" r:id="rIdBomLink36"/>
    <hyperlink ref="G37" r:id="rIdBomLink37"/>
    <hyperlink ref="G38" r:id="rIdBomLink38"/>
    <hyperlink ref="G39" r:id="rIdBomLink39"/>
    <hyperlink ref="G40" r:id="rIdBomLink40"/>
    <hyperlink ref="G41" r:id="rIdBomLink41"/>
    <hyperlink ref="G42" r:id="rIdBomLink42"/>
    <hyperlink ref="G43" r:id="rIdBomLink43"/>
    <hyperlink ref="G44" r:id="rIdBomLink44"/>
    <hyperlink ref="G45" r:id="rIdBomLink45"/>
    <hyperlink ref="G46" r:id="rIdBomLink46"/>
    <hyperlink ref="G47" r:id="rIdBomLink47"/>
    <hyperlink ref="G48" r:id="rIdBomLink48"/>
    <hyperlink ref="G49" r:id="rIdBomLink49"/>
    <hyperlink ref="G50" r:id="rIdBomLink50"/>
    <hyperlink ref="G51" r:id="rIdBomLink51"/>
    <hyperlink ref="G52" r:id="rIdBomLink52"/>
    <hyperlink ref="G53" r:id="rIdBomLink53"/>
    <hyperlink ref="G54" r:id="rIdBomLink54"/>
    <hyperlink ref="G55" r:id="rIdBomLink55"/>
    <hyperlink ref="G56" r:id="rIdBomLink56"/>
    <hyperlink ref="G57" r:id="rIdBomLink57"/>
    <hyperlink ref="G58" r:id="rIdBomLink58"/>
    <hyperlink ref="G59" r:id="rIdBomLink59"/>
    <hyperlink ref="G60" r:id="rIdBomLink60"/>
    <hyperlink ref="G61" r:id="rIdBomLink61"/>
    <hyperlink ref="G62" r:id="rIdBomLink62"/>
    <hyperlink ref="G63" r:id="rIdBomLink63"/>
    <hyperlink ref="G64" r:id="rIdBomLink64"/>
    <hyperlink ref="G65" r:id="rIdBomLink65"/>
    <hyperlink ref="G66" r:id="rIdBomLink66"/>
    <hyperlink ref="G67" r:id="rIdBomLink67"/>
    <hyperlink ref="G68" r:id="rIdBomLink68"/>
    <hyperlink ref="G69" r:id="rIdBomLink69"/>
    <hyperlink ref="G70" r:id="rIdBomLink70"/>
    <hyperlink ref="G71" r:id="rIdBomLink71"/>
    <hyperlink ref="G72" r:id="rIdBomLink72"/>
    <hyperlink ref="G73" r:id="rIdBomLink73"/>
    <hyperlink ref="G74" r:id="rIdBomLink74"/>
  </hyperlinks>
  <pageMargins left="0.7" right="0.7" top="0.75" bottom="0.75" header="0.3" footer="0.3"/>
</worksheet>
</file>