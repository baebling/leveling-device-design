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a02be8712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faf4c05b88ae4290"/>
    <x:sheet xmlns:r="http://schemas.openxmlformats.org/officeDocument/2006/relationships" name="BOM" sheetId="2" r:id="R40f87198ab3e4d59"/>
    <x:sheet xmlns:r="http://schemas.openxmlformats.org/officeDocument/2006/relationships" name="공급업체 질의" sheetId="3" r:id="R8e6dd02246474071"/>
    <x:sheet xmlns:r="http://schemas.openxmlformats.org/officeDocument/2006/relationships" name="검증 매트릭스" sheetId="4" r:id="Rd40571943ec34300"/>
    <x:sheet xmlns:r="http://schemas.openxmlformats.org/officeDocument/2006/relationships" name="출처" sheetId="5" r:id="R75a62a02e118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8">
    <x:font>
      <x:sz val="11"/>
      <x:name val="Carlito"/>
    </x:font>
    <x:font>
      <x:b/>
      <x:sz val="16"/>
      <x:color rgb="FF24364B"/>
      <x:name val="Malgun Gothic"/>
    </x:font>
    <x:font>
      <x:i/>
      <x:sz val="10"/>
      <x:color rgb="FF5B6573"/>
      <x:name val="Malgun Gothic"/>
    </x:font>
    <x:font>
      <x:b/>
      <x:sz val="10"/>
      <x:color rgb="FFFFFFFF"/>
      <x:name val="Malgun Gothic"/>
    </x:font>
    <x:font>
      <x:sz val="11"/>
      <x:name val="Malgun Gothic"/>
    </x:font>
    <x:font>
      <x:sz val="10"/>
      <x:name val="Malgun Gothic"/>
    </x:font>
    <x:font>
      <x:sz val="9"/>
      <x:name val="Malgun Gothic"/>
    </x:font>
    <x:font>
      <x:b/>
      <x:sz val="10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EEF4F8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</x:fills>
  <x:borders count="7">
    <x:border/>
    <x:border>
      <x:bottom style="thin">
        <x:color rgb="FFB8C2CC"/>
      </x:bottom>
    </x:border>
    <x:border>
      <x:right style="thin">
        <x:color rgb="FFFFFFFF"/>
      </x:right>
      <x:bottom style="thin">
        <x:color rgb="FFB8C2CC"/>
      </x:bottom>
    </x:border>
    <x:border>
      <x:left style="thin">
        <x:color rgb="FFFFFFFF"/>
      </x:left>
      <x:bottom style="thin">
        <x:color rgb="FFB8C2CC"/>
      </x:bottom>
    </x:border>
    <x:border>
      <x:left style="thin">
        <x:color rgb="FFFFFFFF"/>
      </x:left>
      <x:right style="thin">
        <x:color rgb="FFFFFFFF"/>
      </x:right>
      <x:bottom style="thin">
        <x:color rgb="FFB8C2CC"/>
      </x:bottom>
    </x:border>
    <x:border>
      <x:bottom style="thin">
        <x:color rgb="FFD9E0E6"/>
      </x:bottom>
    </x:border>
    <x:border>
      <x:top style="double">
        <x:color rgb="FF24364B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3" borderId="1" xfId="0" applyNumberFormat="1" applyFont="1" applyFill="1" applyBorder="1"/>
    <x:xf numFmtId="20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7" fillId="5" borderId="6" xfId="0" applyNumberFormat="1" applyFont="1" applyFill="1" applyBorder="1"/>
    <x:xf numFmtId="200" fontId="7" fillId="5" borderId="6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</x:cellXfs>
  <x:cellStyles count="1">
    <x:cellStyle name="Normal" xfId="0"/>
  </x:cellStyles>
  <x:dxfs count="16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EADCF8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24364B"/>
      </x:font>
      <x:fill>
        <x:patternFill patternType="solid">
          <x:bgColor rgb="FFDCE6F1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444444"/>
      </x:font>
      <x:fill>
        <x:patternFill patternType="solid">
          <x:bgColor rgb="FFE7E6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4364B"/>
      </x:font>
      <x:fill>
        <x:patternFill patternType="solid">
          <x:bgColor rgb="FFDCE6F1"/>
        </x:patternFill>
      </x:fill>
    </x:dxf>
    <x:dxf>
      <x:font>
        <x:b/>
        <x:color rgb="FF5B0F76"/>
      </x:font>
      <x:fill>
        <x:patternFill patternType="solid">
          <x:bgColor rgb="FFEAD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e129adcbd4bd7" /><Relationship Type="http://schemas.openxmlformats.org/officeDocument/2006/relationships/theme" Target="/xl/theme/theme1.xml" Id="R74f0e7292ce84d86" /><Relationship Type="http://schemas.openxmlformats.org/officeDocument/2006/relationships/sharedStrings" Target="/xl/sharedStrings.xml" Id="Rf5216cb4ac7f4f93" /><Relationship Type="http://schemas.openxmlformats.org/officeDocument/2006/relationships/worksheet" Target="/xl/worksheets/sheet1.xml" Id="Rfaf4c05b88ae4290" /><Relationship Type="http://schemas.openxmlformats.org/officeDocument/2006/relationships/worksheet" Target="/xl/worksheets/sheet2.xml" Id="R40f87198ab3e4d59" /><Relationship Type="http://schemas.openxmlformats.org/officeDocument/2006/relationships/worksheet" Target="/xl/worksheets/sheet3.xml" Id="R8e6dd02246474071" /><Relationship Type="http://schemas.openxmlformats.org/officeDocument/2006/relationships/worksheet" Target="/xl/worksheets/sheet4.xml" Id="Rd40571943ec34300" /><Relationship Type="http://schemas.openxmlformats.org/officeDocument/2006/relationships/worksheet" Target="/xl/worksheets/sheet5.xml" Id="R75a62a02e11849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0" hidden="0" customWidth="1"/>
    <x:col min="4" max="4" width="18" hidden="0" customWidth="1"/>
    <x:col min="5" max="5" width="16" hidden="0" customWidth="1"/>
    <x:col min="6" max="6" width="42" hidden="0" customWidth="1"/>
  </x:cols>
  <x:sheetData>
    <x:row r="1">
      <x:c r="A1" s="1" t="str">
        <x:v>전동 3-RPS Rev E 구매 준비 요약</x:v>
      </x:c>
      <x:c r="B1" s="1"/>
      <x:c r="C1" s="1"/>
      <x:c r="D1" s="1"/>
      <x:c r="E1" s="1"/>
      <x:c r="F1" s="1"/>
    </x:row>
    <x:row r="2" ht="30" customHeight="1">
      <x:c r="A2" s="3" t="str">
        <x:v>카트·적재물·사람 없는 자중 자동수평 PoC. 공개 사양은 확인했으며 최종 CAD·전장 SKU·프로젝트 스토퍼 게이트가 남아 있습니다.</x:v>
      </x:c>
      <x:c r="B2" s="3"/>
      <x:c r="C2" s="3"/>
      <x:c r="D2" s="3"/>
      <x:c r="E2" s="3"/>
      <x:c r="F2" s="3"/>
    </x:row>
    <x:row r="3">
      <x:c r="A3" s="58"/>
      <x:c r="B3" s="58"/>
      <x:c r="C3" s="58"/>
      <x:c r="D3" s="58"/>
      <x:c r="E3" s="58"/>
      <x:c r="F3" s="58"/>
    </x:row>
    <x:row r="4" ht="32" customHeight="1">
      <x:c r="A4" s="13" t="str">
        <x:v>항목</x:v>
      </x:c>
      <x:c r="B4" s="14" t="str">
        <x:v>값</x:v>
      </x:c>
      <x:c r="C4" s="19"/>
      <x:c r="D4" s="13" t="str">
        <x:v>결정</x:v>
      </x:c>
      <x:c r="E4" s="18" t="str">
        <x:v>현재 상태</x:v>
      </x:c>
      <x:c r="F4" s="14" t="str">
        <x:v>다음 증거</x:v>
      </x:c>
    </x:row>
    <x:row r="5">
      <x:c r="A5" s="20" t="str">
        <x:v>예산 상한</x:v>
      </x:c>
      <x:c r="B5" s="21" t="n">
        <x:v>4000000</x:v>
      </x:c>
      <x:c r="C5" s="19"/>
      <x:c r="D5" s="29" t="str">
        <x:v>개념</x:v>
      </x:c>
      <x:c r="E5" s="29" t="str">
        <x:v>승인</x:v>
      </x:c>
      <x:c r="F5" s="29" t="str">
        <x:v>상세 설계 진행</x:v>
      </x:c>
    </x:row>
    <x:row r="6">
      <x:c r="A6" s="20" t="str">
        <x:v>기본안 계획총액</x:v>
      </x:c>
      <x:c r="B6" s="21" t="n">
        <x:f>SUMIF(BOM!$C$5:$C$64,"BASE",BOM!$S$5:$S$64)</x:f>
        <x:v>2796700</x:v>
      </x:c>
      <x:c r="C6" s="19"/>
      <x:c r="D6" s="29" t="str">
        <x:v>액추에이터</x:v>
      </x:c>
      <x:c r="E6" s="29" t="str">
        <x:v>사양확정</x:v>
      </x:c>
      <x:c r="F6" s="29" t="str">
        <x:v>24V·100mm·5V, 0.4/1.5 A, 듀티 20%, 내장 리미트; 결제 전 재고만 확인</x:v>
      </x:c>
    </x:row>
    <x:row r="7">
      <x:c r="A7" s="20" t="str">
        <x:v>20% 예비비 포함</x:v>
      </x:c>
      <x:c r="B7" s="21" t="n">
        <x:f>B6*1.2</x:f>
        <x:v>3356040</x:v>
      </x:c>
      <x:c r="C7" s="19"/>
      <x:c r="D7" s="29" t="str">
        <x:v>공통 HOME</x:v>
      </x:c>
      <x:c r="E7" s="29" t="str">
        <x:v>계산완료/실물보정</x:v>
      </x:c>
      <x:c r="F7" s="29" t="str">
        <x:v>명목 205~305 mm와 초기 151.181 count/mm; 입고 후 50 mm 보정</x:v>
      </x:c>
    </x:row>
    <x:row r="8">
      <x:c r="A8" s="20" t="str">
        <x:v>예비비 포함 예산잔액</x:v>
      </x:c>
      <x:c r="B8" s="21" t="n">
        <x:f>B5-B7</x:f>
        <x:v>643960</x:v>
      </x:c>
      <x:c r="C8" s="19"/>
      <x:c r="D8" s="29" t="str">
        <x:v>변경 조인트</x:v>
      </x:c>
      <x:c r="E8" s="29" t="str">
        <x:v>도면확보</x:v>
      </x:c>
      <x:c r="F8" s="29" t="str">
        <x:v>LMB-10·PHS 6 치수를 최종 CAD에 반영</x:v>
      </x:c>
    </x:row>
    <x:row r="9">
      <x:c r="A9" s="20" t="str">
        <x:v>선택 예비 액추에이터</x:v>
      </x:c>
      <x:c r="B9" s="21" t="n">
        <x:f>SUMIF(BOM!$C$5:$C$64,"OPTION",BOM!$S$5:$S$64)</x:f>
        <x:v>126500</x:v>
      </x:c>
      <x:c r="C9" s="19"/>
      <x:c r="D9" s="29" t="str">
        <x:v>비상정지</x:v>
      </x:c>
      <x:c r="E9" s="29" t="str">
        <x:v>HOLD</x:v>
      </x:c>
      <x:c r="F9" s="29" t="str">
        <x:v>DC 차단정격과 회로 검토</x:v>
      </x:c>
    </x:row>
    <x:row r="10">
      <x:c r="A10" s="20" t="str">
        <x:v>확인단가 확보 금액</x:v>
      </x:c>
      <x:c r="B10" s="21" t="n">
        <x:f>SUMIF(BOM!$C$5:$C$64,"BASE",BOM!$R$5:$R$64)</x:f>
        <x:v>652100</x:v>
      </x:c>
      <x:c r="C10" s="19"/>
      <x:c r="D10" s="29" t="str">
        <x:v>구매</x:v>
      </x:c>
      <x:c r="E10" s="29" t="str">
        <x:v>보류</x:v>
      </x:c>
      <x:c r="F10" s="29" t="str">
        <x:v>BOM SKU·옵션·총액 최종검토</x:v>
      </x:c>
    </x:row>
    <x:row r="11">
      <x:c r="A11" s="20" t="str">
        <x:v>기본안 BLOCK 행 수</x:v>
      </x:c>
      <x:c r="B11" s="22" t="n">
        <x:f>COUNTIF(BOM!$M$5:$M$64,"BLOCK")</x:f>
        <x:v>53</x:v>
      </x:c>
      <x:c r="C11" s="19"/>
      <x:c r="D11" s="29" t="str">
        <x:v>실물 합격</x:v>
      </x:c>
      <x:c r="E11" s="29" t="str">
        <x:v>미실시</x:v>
      </x:c>
      <x:c r="F11" s="29" t="str">
        <x:v>조립·HOME·자동수평·오류시험</x:v>
      </x:c>
    </x:row>
    <x:row r="12">
      <x:c r="A12" s="23" t="str">
        <x:v>예비품 포함+20%</x:v>
      </x:c>
      <x:c r="B12" s="24" t="n">
        <x:f>(B6+B9)*1.2</x:f>
        <x:v>3507840</x:v>
      </x:c>
      <x:c r="C12" s="19"/>
      <x:c r="D12" s="30" t="str">
        <x:v>독립 스토퍼 릴리스형</x:v>
      </x:c>
      <x:c r="E12" s="30" t="str">
        <x:v>BLOCK</x:v>
      </x:c>
      <x:c r="F12" s="30" t="str">
        <x:v>C04~C09 CAD·접촉하중·간섭·가공견적 동결</x:v>
      </x:c>
    </x:row>
    <x:row r="13">
      <x:c r="A13" s="19"/>
      <x:c r="B13" s="19"/>
      <x:c r="C13" s="19"/>
      <x:c r="D13" s="19"/>
      <x:c r="E13" s="19"/>
      <x:c r="F13" s="19"/>
    </x:row>
    <x:row r="14" ht="32" customHeight="1">
      <x:c r="A14" s="13" t="str">
        <x:v>승인 요구</x:v>
      </x:c>
      <x:c r="B14" s="18" t="str">
        <x:v>값</x:v>
      </x:c>
      <x:c r="C14" s="18" t="str">
        <x:v>단위</x:v>
      </x:c>
      <x:c r="D14" s="18" t="str">
        <x:v>근거</x:v>
      </x:c>
      <x:c r="E14" s="18" t="str">
        <x:v>상태</x:v>
      </x:c>
      <x:c r="F14" s="14" t="str">
        <x:v>비고</x:v>
      </x:c>
    </x:row>
    <x:row r="15">
      <x:c r="A15" s="29" t="str">
        <x:v>Z 명령범위</x:v>
      </x:c>
      <x:c r="B15" s="29" t="n">
        <x:v>50</x:v>
      </x:c>
      <x:c r="C15" s="29" t="str">
        <x:v>mm</x:v>
      </x:c>
      <x:c r="D15" s="29" t="str">
        <x:v>사용자 승인</x:v>
      </x:c>
      <x:c r="E15" s="29" t="str">
        <x:v>고정</x:v>
      </x:c>
      <x:c r="F15" s="29" t="str">
        <x:v>물리 하한이 아닌 운전기준점부터</x:v>
      </x:c>
    </x:row>
    <x:row r="16">
      <x:c r="A16" s="29" t="str">
        <x:v>pitch/roll</x:v>
      </x:c>
      <x:c r="B16" s="29" t="n">
        <x:v>3</x:v>
      </x:c>
      <x:c r="C16" s="29" t="str">
        <x:v>deg</x:v>
      </x:c>
      <x:c r="D16" s="29" t="str">
        <x:v>사용자 승인</x:v>
      </x:c>
      <x:c r="E16" s="29" t="str">
        <x:v>고정</x:v>
      </x:c>
      <x:c r="F16" s="29" t="str">
        <x:v>동시 ±3°</x:v>
      </x:c>
    </x:row>
    <x:row r="17">
      <x:c r="A17" s="29" t="str">
        <x:v>하부 합성 각속도</x:v>
      </x:c>
      <x:c r="B17" s="29" t="n">
        <x:v>1</x:v>
      </x:c>
      <x:c r="C17" s="29" t="str">
        <x:v>deg/s</x:v>
      </x:c>
      <x:c r="D17" s="29" t="str">
        <x:v>수용기준</x:v>
      </x:c>
      <x:c r="E17" s="29" t="str">
        <x:v>고정</x:v>
      </x:c>
      <x:c r="F17" s="29" t="str">
        <x:v>sqrt(pitch_rate²+roll_rate²) 이하</x:v>
      </x:c>
    </x:row>
    <x:row r="18">
      <x:c r="A18" s="29" t="str">
        <x:v>정상상태 수평오차</x:v>
      </x:c>
      <x:c r="B18" s="29" t="n">
        <x:v>0.5</x:v>
      </x:c>
      <x:c r="C18" s="29" t="str">
        <x:v>deg</x:v>
      </x:c>
      <x:c r="D18" s="29" t="str">
        <x:v>목표</x:v>
      </x:c>
      <x:c r="E18" s="29" t="str">
        <x:v>목표</x:v>
      </x:c>
      <x:c r="F18" s="29" t="str">
        <x:v>PoC 수용기준은 ±1.0°</x:v>
      </x:c>
    </x:row>
    <x:row r="19">
      <x:c r="A19" s="30" t="str">
        <x:v>총예산</x:v>
      </x:c>
      <x:c r="B19" s="30" t="n">
        <x:v>4000000</x:v>
      </x:c>
      <x:c r="C19" s="30" t="str">
        <x:v>KRW</x:v>
      </x:c>
      <x:c r="D19" s="30" t="str">
        <x:v>사용자 승인</x:v>
      </x:c>
      <x:c r="E19" s="30" t="str">
        <x:v>고정</x:v>
      </x:c>
      <x:c r="F19" s="30" t="str">
        <x:v>기본안·예비품 포함안 각각 가공·배송 포함</x:v>
      </x:c>
    </x:row>
    <x:row r="20">
      <x:c r="A20" s="19"/>
      <x:c r="B20" s="19"/>
      <x:c r="C20" s="19"/>
      <x:c r="D20" s="19"/>
      <x:c r="E20" s="19"/>
      <x:c r="F20" s="19"/>
    </x:row>
    <x:row r="21">
      <x:c r="A21" s="19"/>
      <x:c r="B21" s="19"/>
      <x:c r="C21" s="19"/>
      <x:c r="D21" s="19"/>
      <x:c r="E21" s="19"/>
      <x:c r="F21" s="19"/>
    </x:row>
    <x:row r="22" ht="32" customHeight="1">
      <x:c r="A22" s="13" t="str">
        <x:v>주의사항</x:v>
      </x:c>
      <x:c r="B22" s="18" t="str">
        <x:v>내용</x:v>
      </x:c>
      <x:c r="C22" s="18" t="str"/>
      <x:c r="D22" s="18" t="str"/>
      <x:c r="E22" s="18" t="str"/>
      <x:c r="F22" s="14" t="str"/>
    </x:row>
    <x:row r="23" ht="52" customHeight="1">
      <x:c r="A23" s="36" t="str">
        <x:v>기계식 스토퍼</x:v>
      </x:c>
      <x:c r="B23" s="36" t="str">
        <x:v>무스토퍼안은 분석 전용. 구매형 BOM에는 C04~C09 계획비를 포함했으나 CAD·하중·간섭·견적 동결 전 릴리스는 FALSE.</x:v>
      </x:c>
      <x:c r="C23" s="36" t="str"/>
      <x:c r="D23" s="36" t="str"/>
      <x:c r="E23" s="36" t="str"/>
      <x:c r="F23" s="36" t="str"/>
    </x:row>
    <x:row r="24" ht="52" customHeight="1">
      <x:c r="A24" s="36" t="str">
        <x:v>1축 선구매</x:v>
      </x:c>
      <x:c r="B24" s="36" t="str">
        <x:v>일정상 생략하고 3축을 일괄구매. 납품 후에는 축별 저속 JOG와 리미트 확인 후 3축으로 확대.</x:v>
      </x:c>
      <x:c r="C24" s="36" t="str"/>
      <x:c r="D24" s="36" t="str"/>
      <x:c r="E24" s="36" t="str"/>
      <x:c r="F24" s="36" t="str"/>
    </x:row>
    <x:row r="25" ht="52" customHeight="1">
      <x:c r="A25" s="37" t="str">
        <x:v>구매 릴리스</x:v>
      </x:c>
      <x:c r="B25" s="37" t="str">
        <x:v>현재 FALSE. BLOCK 항목이 남은 동안 결제하지 않음.</x:v>
      </x:c>
      <x:c r="C25" s="37" t="str"/>
      <x:c r="D25" s="37" t="str"/>
      <x:c r="E25" s="37" t="str"/>
      <x:c r="F25" s="37" t="str"/>
    </x:row>
  </x:sheetData>
  <x:mergeCells>
    <x:mergeCell ref="A2:F2"/>
    <x:mergeCell ref="B23:F23"/>
    <x:mergeCell ref="B24:F24"/>
    <x:mergeCell ref="B25:F25"/>
  </x:mergeCells>
  <x:conditionalFormatting sqref="E5:E12">
    <x:cfRule type="containsText" dxfId="0" priority="1" operator="containsText" text="HOLD"/>
    <x:cfRule type="containsText" dxfId="1" priority="2" operator="containsText" text="보류"/>
    <x:cfRule type="containsText" dxfId="2" priority="3" operator="containsText" text="BLOCK"/>
    <x:cfRule type="containsText" dxfId="3" priority="4" operator="containsText" text="승인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4" hidden="0" customWidth="1"/>
    <x:col min="5" max="5" width="42" hidden="0" customWidth="1"/>
    <x:col min="6" max="6" width="10" hidden="0" customWidth="1"/>
    <x:col min="7" max="7" width="8" hidden="0" customWidth="1"/>
    <x:col min="8" max="8" width="14" hidden="0" customWidth="1"/>
    <x:col min="9" max="9" width="18" hidden="0" customWidth="1"/>
    <x:col min="10" max="10" width="16" hidden="0" customWidth="1"/>
    <x:col min="11" max="11" width="14" hidden="0" customWidth="1"/>
    <x:col min="12" max="12" width="16" hidden="0" customWidth="1"/>
    <x:col min="13" max="13" width="12" hidden="0" customWidth="1"/>
    <x:col min="14" max="14" width="18" hidden="0" customWidth="1"/>
    <x:col min="15" max="15" width="12" hidden="0" customWidth="1"/>
    <x:col min="16" max="16" width="44" hidden="0" customWidth="1"/>
    <x:col min="17" max="17" width="44" hidden="0" customWidth="1"/>
    <x:col min="18" max="18" width="15" hidden="0" customWidth="1"/>
    <x:col min="19" max="19" width="15" hidden="0" customWidth="1"/>
  </x:cols>
  <x:sheetData>
    <x:row r="1">
      <x:c r="A1" s="1" t="str">
        <x:v>전동 3-RPS Rev E 구매 BOM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30" customHeight="1">
      <x:c r="A2" s="3" t="str">
        <x:v>2026-09-17 승인 개념 기준. 확인단가가 빈 셀인 품목은 0원이 아니라 견적 또는 SKU 확정이 필요합니다.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32" customHeight="1">
      <x:c r="A4" s="13" t="str">
        <x:v>ID</x:v>
      </x:c>
      <x:c r="B4" s="18" t="str">
        <x:v>분류</x:v>
      </x:c>
      <x:c r="C4" s="18" t="str">
        <x:v>구분</x:v>
      </x:c>
      <x:c r="D4" s="18" t="str">
        <x:v>품목</x:v>
      </x:c>
      <x:c r="E4" s="18" t="str">
        <x:v>규격</x:v>
      </x:c>
      <x:c r="F4" s="18" t="str">
        <x:v>주문수량</x:v>
      </x:c>
      <x:c r="G4" s="18" t="str">
        <x:v>단위</x:v>
      </x:c>
      <x:c r="H4" s="18" t="str">
        <x:v>공급처</x:v>
      </x:c>
      <x:c r="I4" s="18" t="str">
        <x:v>상품번호/옵션</x:v>
      </x:c>
      <x:c r="J4" s="18" t="str">
        <x:v>확인단가(VAT포함)</x:v>
      </x:c>
      <x:c r="K4" s="18" t="str">
        <x:v>계획단가</x:v>
      </x:c>
      <x:c r="L4" s="18" t="str">
        <x:v>조달상태</x:v>
      </x:c>
      <x:c r="M4" s="18" t="str">
        <x:v>주문게이트</x:v>
      </x:c>
      <x:c r="N4" s="18" t="str">
        <x:v>납기표시</x:v>
      </x:c>
      <x:c r="O4" s="18" t="str">
        <x:v>확인일</x:v>
      </x:c>
      <x:c r="P4" s="18" t="str">
        <x:v>출처 URL</x:v>
      </x:c>
      <x:c r="Q4" s="18" t="str">
        <x:v>비고</x:v>
      </x:c>
      <x:c r="R4" s="18" t="str">
        <x:v>확인금액</x:v>
      </x:c>
      <x:c r="S4" s="14" t="str">
        <x:v>계획금액</x:v>
      </x:c>
    </x:row>
    <x:row r="5" ht="42" customHeight="1">
      <x:c r="A5" s="42" t="str">
        <x:v>S01</x:v>
      </x:c>
      <x:c r="B5" s="42" t="str">
        <x:v>구조</x:v>
      </x:c>
      <x:c r="C5" s="42" t="str">
        <x:v>BASE</x:v>
      </x:c>
      <x:c r="D5" s="42" t="str">
        <x:v>하부 4040 프로파일 700 mm</x:v>
      </x:c>
      <x:c r="E5" s="42" t="str">
        <x:v>DNF4040 또는 DF4040, 직각절단</x:v>
      </x:c>
      <x:c r="F5" s="44" t="n">
        <x:v>2</x:v>
      </x:c>
      <x:c r="G5" s="42" t="str">
        <x:v>EA</x:v>
      </x:c>
      <x:c r="H5" s="42" t="str">
        <x:v>엘레파츠</x:v>
      </x:c>
      <x:c r="I5" s="42" t="str">
        <x:v>길이옵션 확인</x:v>
      </x:c>
      <x:c r="J5" s="46"/>
      <x:c r="K5" s="46" t="n">
        <x:v>22000</x:v>
      </x:c>
      <x:c r="L5" s="42" t="str">
        <x:v>견적필요</x:v>
      </x:c>
      <x:c r="M5" s="42" t="str">
        <x:v>BLOCK</x:v>
      </x:c>
      <x:c r="N5" s="42" t="str">
        <x:v>약 3영업일</x:v>
      </x:c>
      <x:c r="O5" s="42" t="str">
        <x:v>2026-09-17</x:v>
      </x:c>
      <x:c r="P5" s="42" t="str">
        <x:v>https://eleparts.co.kr/goods/catalog?code=001200150007</x:v>
      </x:c>
      <x:c r="Q5" s="42" t="str">
        <x:v>기존 Rev E 길이 유지</x:v>
      </x:c>
      <x:c r="R5" s="46" t="str">
        <x:f>IF(ISNUMBER(J5),F5*J5,"")</x:f>
      </x:c>
      <x:c r="S5" s="46" t="n">
        <x:f>F5*K5</x:f>
        <x:v>44000</x:v>
      </x:c>
    </x:row>
    <x:row r="6" ht="42" customHeight="1">
      <x:c r="A6" s="42" t="str">
        <x:v>S02</x:v>
      </x:c>
      <x:c r="B6" s="42" t="str">
        <x:v>구조</x:v>
      </x:c>
      <x:c r="C6" s="42" t="str">
        <x:v>BASE</x:v>
      </x:c>
      <x:c r="D6" s="42" t="str">
        <x:v>하부 4040 프로파일 620 mm</x:v>
      </x:c>
      <x:c r="E6" s="42" t="str">
        <x:v>DNF4040 또는 DF4040, 직각절단</x:v>
      </x:c>
      <x:c r="F6" s="44" t="n">
        <x:v>4</x:v>
      </x:c>
      <x:c r="G6" s="42" t="str">
        <x:v>EA</x:v>
      </x:c>
      <x:c r="H6" s="42" t="str">
        <x:v>엘레파츠</x:v>
      </x:c>
      <x:c r="I6" s="42" t="str">
        <x:v>길이옵션 확인</x:v>
      </x:c>
      <x:c r="J6" s="46"/>
      <x:c r="K6" s="46" t="n">
        <x:v>20000</x:v>
      </x:c>
      <x:c r="L6" s="42" t="str">
        <x:v>견적필요</x:v>
      </x:c>
      <x:c r="M6" s="42" t="str">
        <x:v>BLOCK</x:v>
      </x:c>
      <x:c r="N6" s="42" t="str">
        <x:v>약 3영업일</x:v>
      </x:c>
      <x:c r="O6" s="42" t="str">
        <x:v>2026-09-17</x:v>
      </x:c>
      <x:c r="P6" s="42" t="str">
        <x:v>https://eleparts.co.kr/goods/catalog?code=001200150007</x:v>
      </x:c>
      <x:c r="Q6" s="42" t="str">
        <x:v>기존 Rev E 길이 유지</x:v>
      </x:c>
      <x:c r="R6" s="46" t="str">
        <x:f>IF(ISNUMBER(J6),F6*J6,"")</x:f>
      </x:c>
      <x:c r="S6" s="46" t="n">
        <x:f>F6*K6</x:f>
        <x:v>80000</x:v>
      </x:c>
    </x:row>
    <x:row r="7" ht="42" customHeight="1">
      <x:c r="A7" s="42" t="str">
        <x:v>S03</x:v>
      </x:c>
      <x:c r="B7" s="42" t="str">
        <x:v>구조</x:v>
      </x:c>
      <x:c r="C7" s="42" t="str">
        <x:v>BASE</x:v>
      </x:c>
      <x:c r="D7" s="42" t="str">
        <x:v>상부 3030 프로파일 700 mm</x:v>
      </x:c>
      <x:c r="E7" s="42" t="str">
        <x:v>DNF3030 또는 DF3030, 직각절단</x:v>
      </x:c>
      <x:c r="F7" s="44" t="n">
        <x:v>2</x:v>
      </x:c>
      <x:c r="G7" s="42" t="str">
        <x:v>EA</x:v>
      </x:c>
      <x:c r="H7" s="42" t="str">
        <x:v>엘레파츠</x:v>
      </x:c>
      <x:c r="I7" s="42" t="str">
        <x:v>길이옵션 확인</x:v>
      </x:c>
      <x:c r="J7" s="46"/>
      <x:c r="K7" s="46" t="n">
        <x:v>16000</x:v>
      </x:c>
      <x:c r="L7" s="42" t="str">
        <x:v>견적필요</x:v>
      </x:c>
      <x:c r="M7" s="42" t="str">
        <x:v>BLOCK</x:v>
      </x:c>
      <x:c r="N7" s="42" t="str">
        <x:v>약 3영업일</x:v>
      </x:c>
      <x:c r="O7" s="42" t="str">
        <x:v>2026-09-17</x:v>
      </x:c>
      <x:c r="P7" s="42" t="str">
        <x:v>https://eleparts.co.kr/goods/catalog?code=0012001500070002</x:v>
      </x:c>
      <x:c r="Q7" s="42" t="str">
        <x:v>슬롯 규격 확인</x:v>
      </x:c>
      <x:c r="R7" s="46" t="str">
        <x:f>IF(ISNUMBER(J7),F7*J7,"")</x:f>
      </x:c>
      <x:c r="S7" s="46" t="n">
        <x:f>F7*K7</x:f>
        <x:v>32000</x:v>
      </x:c>
    </x:row>
    <x:row r="8" ht="42" customHeight="1">
      <x:c r="A8" s="42" t="str">
        <x:v>S04</x:v>
      </x:c>
      <x:c r="B8" s="42" t="str">
        <x:v>구조</x:v>
      </x:c>
      <x:c r="C8" s="42" t="str">
        <x:v>BASE</x:v>
      </x:c>
      <x:c r="D8" s="42" t="str">
        <x:v>상부 3030 프로파일 640 mm</x:v>
      </x:c>
      <x:c r="E8" s="42" t="str">
        <x:v>DNF3030 또는 DF3030, 직각절단</x:v>
      </x:c>
      <x:c r="F8" s="44" t="n">
        <x:v>4</x:v>
      </x:c>
      <x:c r="G8" s="42" t="str">
        <x:v>EA</x:v>
      </x:c>
      <x:c r="H8" s="42" t="str">
        <x:v>엘레파츠</x:v>
      </x:c>
      <x:c r="I8" s="42" t="str">
        <x:v>길이옵션 확인</x:v>
      </x:c>
      <x:c r="J8" s="46"/>
      <x:c r="K8" s="46" t="n">
        <x:v>15000</x:v>
      </x:c>
      <x:c r="L8" s="42" t="str">
        <x:v>견적필요</x:v>
      </x:c>
      <x:c r="M8" s="42" t="str">
        <x:v>BLOCK</x:v>
      </x:c>
      <x:c r="N8" s="42" t="str">
        <x:v>약 3영업일</x:v>
      </x:c>
      <x:c r="O8" s="42" t="str">
        <x:v>2026-09-17</x:v>
      </x:c>
      <x:c r="P8" s="42" t="str">
        <x:v>https://eleparts.co.kr/goods/catalog?code=0012001500070002</x:v>
      </x:c>
      <x:c r="Q8" s="42" t="str">
        <x:v>기존 Rev E 길이 유지</x:v>
      </x:c>
      <x:c r="R8" s="46" t="str">
        <x:f>IF(ISNUMBER(J8),F8*J8,"")</x:f>
      </x:c>
      <x:c r="S8" s="46" t="n">
        <x:f>F8*K8</x:f>
        <x:v>60000</x:v>
      </x:c>
    </x:row>
    <x:row r="9" ht="42" customHeight="1">
      <x:c r="A9" s="42" t="str">
        <x:v>S05</x:v>
      </x:c>
      <x:c r="B9" s="42" t="str">
        <x:v>구조</x:v>
      </x:c>
      <x:c r="C9" s="42" t="str">
        <x:v>BASE</x:v>
      </x:c>
      <x:c r="D9" s="42" t="str">
        <x:v>40시리즈 직각 브래킷</x:v>
      </x:c>
      <x:c r="E9" s="42" t="str">
        <x:v>4035 계열</x:v>
      </x:c>
      <x:c r="F9" s="44" t="n">
        <x:v>8</x:v>
      </x:c>
      <x:c r="G9" s="42" t="str">
        <x:v>EA</x:v>
      </x:c>
      <x:c r="H9" s="42" t="str">
        <x:v>엘레파츠</x:v>
      </x:c>
      <x:c r="I9" s="42" t="str">
        <x:v>선정 필요</x:v>
      </x:c>
      <x:c r="J9" s="46"/>
      <x:c r="K9" s="46" t="n">
        <x:v>1500</x:v>
      </x:c>
      <x:c r="L9" s="42" t="str">
        <x:v>SKU선정</x:v>
      </x:c>
      <x:c r="M9" s="42" t="str">
        <x:v>BLOCK</x:v>
      </x:c>
      <x:c r="N9" s="42" t="str">
        <x:v>확인 필요</x:v>
      </x:c>
      <x:c r="O9" s="42" t="str">
        <x:v>2026-09-17</x:v>
      </x:c>
      <x:c r="P9" s="42" t="str">
        <x:v>https://eleparts.co.kr/goods/catalog?code=001200150007</x:v>
      </x:c>
      <x:c r="Q9" s="42" t="str">
        <x:v>4040 슬롯 호환 확인</x:v>
      </x:c>
      <x:c r="R9" s="46" t="str">
        <x:f>IF(ISNUMBER(J9),F9*J9,"")</x:f>
      </x:c>
      <x:c r="S9" s="46" t="n">
        <x:f>F9*K9</x:f>
        <x:v>12000</x:v>
      </x:c>
    </x:row>
    <x:row r="10" ht="42" customHeight="1">
      <x:c r="A10" s="42" t="str">
        <x:v>S06</x:v>
      </x:c>
      <x:c r="B10" s="42" t="str">
        <x:v>구조</x:v>
      </x:c>
      <x:c r="C10" s="42" t="str">
        <x:v>BASE</x:v>
      </x:c>
      <x:c r="D10" s="42" t="str">
        <x:v>30시리즈 직각 브래킷</x:v>
      </x:c>
      <x:c r="E10" s="42" t="str">
        <x:v>DCB3025 계열</x:v>
      </x:c>
      <x:c r="F10" s="44" t="n">
        <x:v>8</x:v>
      </x:c>
      <x:c r="G10" s="42" t="str">
        <x:v>EA</x:v>
      </x:c>
      <x:c r="H10" s="42" t="str">
        <x:v>엘레파츠</x:v>
      </x:c>
      <x:c r="I10" s="42" t="str">
        <x:v>선정 필요</x:v>
      </x:c>
      <x:c r="J10" s="46"/>
      <x:c r="K10" s="46" t="n">
        <x:v>1200</x:v>
      </x:c>
      <x:c r="L10" s="42" t="str">
        <x:v>SKU선정</x:v>
      </x:c>
      <x:c r="M10" s="42" t="str">
        <x:v>BLOCK</x:v>
      </x:c>
      <x:c r="N10" s="42" t="str">
        <x:v>확인 필요</x:v>
      </x:c>
      <x:c r="O10" s="42" t="str">
        <x:v>2026-09-17</x:v>
      </x:c>
      <x:c r="P10" s="42" t="str">
        <x:v>https://eleparts.co.kr/goods/catalog?code=0012001500070002</x:v>
      </x:c>
      <x:c r="Q10" s="42" t="str">
        <x:v>3030 슬롯 호환 확인</x:v>
      </x:c>
      <x:c r="R10" s="46" t="str">
        <x:f>IF(ISNUMBER(J10),F10*J10,"")</x:f>
      </x:c>
      <x:c r="S10" s="46" t="n">
        <x:f>F10*K10</x:f>
        <x:v>9600</x:v>
      </x:c>
    </x:row>
    <x:row r="11" ht="42" customHeight="1">
      <x:c r="A11" s="42" t="str">
        <x:v>M01</x:v>
      </x:c>
      <x:c r="B11" s="42" t="str">
        <x:v>구동</x:v>
      </x:c>
      <x:c r="C11" s="42" t="str">
        <x:v>BASE</x:v>
      </x:c>
      <x:c r="D11" s="42" t="str">
        <x:v>엔코더 리니어 액추에이터</x:v>
      </x:c>
      <x:c r="E11" s="42" t="str">
        <x:v>LM4075OE-1075, 24 V, 100 mm, 10 mm/s, 750 N, 5 V 6 ppr</x:v>
      </x:c>
      <x:c r="F11" s="44" t="n">
        <x:v>3</x:v>
      </x:c>
      <x:c r="G11" s="42" t="str">
        <x:v>EA</x:v>
      </x:c>
      <x:c r="H11" s="42" t="str">
        <x:v>모터뱅크</x:v>
      </x:c>
      <x:c r="I11" s="42" t="str">
        <x:v>1000035578 / 24V·100mm·5V</x:v>
      </x:c>
      <x:c r="J11" s="46" t="n">
        <x:v>126500</x:v>
      </x:c>
      <x:c r="K11" s="46" t="n">
        <x:v>126500</x:v>
      </x:c>
      <x:c r="L11" s="42" t="str">
        <x:v>OPTION-CLOSED</x:v>
      </x:c>
      <x:c r="M11" s="42" t="str">
        <x:v>REVIEW</x:v>
      </x:c>
      <x:c r="N11" s="42" t="str">
        <x:v>주문제작 7~14일 표시</x:v>
      </x:c>
      <x:c r="O11" s="42" t="str">
        <x:v>2026-09-17</x:v>
      </x:c>
      <x:c r="P11" s="42" t="str">
        <x:v>https://www.motorbank.kr/goods/goods_view.php?goodsNo=1000035578</x:v>
      </x:c>
      <x:c r="Q11" s="42" t="str">
        <x:v>0.4/1.5 A, 듀티 20%, 내장 리미트. 결제 직전 3대 재고만 확인</x:v>
      </x:c>
      <x:c r="R11" s="46" t="n">
        <x:f>IF(ISNUMBER(J11),F11*J11,"")</x:f>
        <x:v>379500</x:v>
      </x:c>
      <x:c r="S11" s="46" t="n">
        <x:f>F11*K11</x:f>
        <x:v>379500</x:v>
      </x:c>
    </x:row>
    <x:row r="12" ht="42" customHeight="1">
      <x:c r="A12" s="42" t="str">
        <x:v>M01S</x:v>
      </x:c>
      <x:c r="B12" s="42" t="str">
        <x:v>구동</x:v>
      </x:c>
      <x:c r="C12" s="42" t="str">
        <x:v>OPTION</x:v>
      </x:c>
      <x:c r="D12" s="42" t="str">
        <x:v>예비 액추에이터</x:v>
      </x:c>
      <x:c r="E12" s="42" t="str">
        <x:v>M01과 동일 옵션</x:v>
      </x:c>
      <x:c r="F12" s="44" t="n">
        <x:v>1</x:v>
      </x:c>
      <x:c r="G12" s="42" t="str">
        <x:v>EA</x:v>
      </x:c>
      <x:c r="H12" s="42" t="str">
        <x:v>모터뱅크</x:v>
      </x:c>
      <x:c r="I12" s="42" t="str">
        <x:v>1000035578 / 24V·100mm·5V</x:v>
      </x:c>
      <x:c r="J12" s="46" t="n">
        <x:v>126500</x:v>
      </x:c>
      <x:c r="K12" s="46" t="n">
        <x:v>126500</x:v>
      </x:c>
      <x:c r="L12" s="42" t="str">
        <x:v>선택견적</x:v>
      </x:c>
      <x:c r="M12" s="42" t="str">
        <x:v>OPTION</x:v>
      </x:c>
      <x:c r="N12" s="42" t="str">
        <x:v>주문제작 7~14일 표시</x:v>
      </x:c>
      <x:c r="O12" s="42" t="str">
        <x:v>2026-09-17</x:v>
      </x:c>
      <x:c r="P12" s="42" t="str">
        <x:v>https://www.motorbank.kr/goods/goods_view.php?goodsNo=1000035578</x:v>
      </x:c>
      <x:c r="Q12" s="42" t="str">
        <x:v>산단 승인 시에만 포함</x:v>
      </x:c>
      <x:c r="R12" s="46" t="n">
        <x:f>IF(ISNUMBER(J12),F12*J12,"")</x:f>
        <x:v>126500</x:v>
      </x:c>
      <x:c r="S12" s="46" t="n">
        <x:f>F12*K12</x:f>
        <x:v>126500</x:v>
      </x:c>
    </x:row>
    <x:row r="13" ht="42" customHeight="1">
      <x:c r="A13" s="42" t="str">
        <x:v>M02</x:v>
      </x:c>
      <x:c r="B13" s="42" t="str">
        <x:v>구동</x:v>
      </x:c>
      <x:c r="C13" s="42" t="str">
        <x:v>BASE</x:v>
      </x:c>
      <x:c r="D13" s="42" t="str">
        <x:v>하부 피벗 브래킷</x:v>
      </x:c>
      <x:c r="E13" s="42" t="str">
        <x:v>LMB-10; W26/내부20/L56/H44/핀H36/피치36/t3/Ø6.2/Ø8/R8</x:v>
      </x:c>
      <x:c r="F13" s="44" t="n">
        <x:v>3</x:v>
      </x:c>
      <x:c r="G13" s="42" t="str">
        <x:v>EA</x:v>
      </x:c>
      <x:c r="H13" s="42" t="str">
        <x:v>모터뱅크</x:v>
      </x:c>
      <x:c r="I13" s="42" t="str">
        <x:v>1000007655</x:v>
      </x:c>
      <x:c r="J13" s="46" t="n">
        <x:v>4400</x:v>
      </x:c>
      <x:c r="K13" s="46" t="n">
        <x:v>4400</x:v>
      </x:c>
      <x:c r="L13" s="42" t="str">
        <x:v>DRAWING-CLOSED</x:v>
      </x:c>
      <x:c r="M13" s="42" t="str">
        <x:v>REVIEW</x:v>
      </x:c>
      <x:c r="N13" s="42" t="str">
        <x:v>결제 직전 확인</x:v>
      </x:c>
      <x:c r="O13" s="42" t="str">
        <x:v>2026-09-17</x:v>
      </x:c>
      <x:c r="P13" s="42" t="str">
        <x:v>https://www.motorbank.kr/goods/goods_view.php?goodsNo=1000007655</x:v>
      </x:c>
      <x:c r="Q13" s="42" t="str">
        <x:v>상세사진에 브래킷 2·핀 2·R클립 2 표시; 입고 후 대조</x:v>
      </x:c>
      <x:c r="R13" s="46" t="n">
        <x:f>IF(ISNUMBER(J13),F13*J13,"")</x:f>
        <x:v>13200</x:v>
      </x:c>
      <x:c r="S13" s="46" t="n">
        <x:f>F13*K13</x:f>
        <x:v>13200</x:v>
      </x:c>
    </x:row>
    <x:row r="14" ht="42" customHeight="1">
      <x:c r="A14" s="42" t="str">
        <x:v>M03</x:v>
      </x:c>
      <x:c r="B14" s="42" t="str">
        <x:v>구동</x:v>
      </x:c>
      <x:c r="C14" s="42" t="str">
        <x:v>BASE</x:v>
      </x:c>
      <x:c r="D14" s="42" t="str">
        <x:v>상부 로드엔드</x:v>
      </x:c>
      <x:c r="E14" s="42" t="str">
        <x:v>LDK PHS 6, M6-6H, bore 6 mm, angle 13°, 3.2/8.1 kN</x:v>
      </x:c>
      <x:c r="F14" s="44" t="n">
        <x:v>3</x:v>
      </x:c>
      <x:c r="G14" s="42" t="str">
        <x:v>EA</x:v>
      </x:c>
      <x:c r="H14" s="42" t="str">
        <x:v>엘레파츠</x:v>
      </x:c>
      <x:c r="I14" s="42" t="str">
        <x:v>EPYDPV96</x:v>
      </x:c>
      <x:c r="J14" s="46" t="n">
        <x:v>33000</x:v>
      </x:c>
      <x:c r="K14" s="46" t="n">
        <x:v>33000</x:v>
      </x:c>
      <x:c r="L14" s="42" t="str">
        <x:v>DRAWING-ACQUIRED</x:v>
      </x:c>
      <x:c r="M14" s="42" t="str">
        <x:v>BLOCK</x:v>
      </x:c>
      <x:c r="N14" s="42" t="str">
        <x:v>해외 12영업일(10/08 표시)</x:v>
      </x:c>
      <x:c r="O14" s="42" t="str">
        <x:v>2026-09-17</x:v>
      </x:c>
      <x:c r="P14" s="42" t="str">
        <x:v>https://eleparts.co.kr/goods/view?no=16325532</x:v>
      </x:c>
      <x:c r="Q14" s="42" t="str">
        <x:v>화면상 주문가능 22개이나 실제 재고와 다를 수 있음; 데이터시트 형상으로 CAD 대체</x:v>
      </x:c>
      <x:c r="R14" s="46" t="n">
        <x:f>IF(ISNUMBER(J14),F14*J14,"")</x:f>
        <x:v>99000</x:v>
      </x:c>
      <x:c r="S14" s="46" t="n">
        <x:f>F14*K14</x:f>
        <x:v>99000</x:v>
      </x:c>
    </x:row>
    <x:row r="15" ht="42" customHeight="1">
      <x:c r="A15" s="42" t="str">
        <x:v>C01</x:v>
      </x:c>
      <x:c r="B15" s="42" t="str">
        <x:v>가공</x:v>
      </x:c>
      <x:c r="C15" s="42" t="str">
        <x:v>BASE</x:v>
      </x:c>
      <x:c r="D15" s="42" t="str">
        <x:v>하부 액추에이터 어댑터</x:v>
      </x:c>
      <x:c r="E15" s="42" t="str">
        <x:v>A6061-T6, 120×70×8 mm, 3종 홀배치</x:v>
      </x:c>
      <x:c r="F15" s="44" t="n">
        <x:v>3</x:v>
      </x:c>
      <x:c r="G15" s="42" t="str">
        <x:v>EA</x:v>
      </x:c>
      <x:c r="H15" s="42" t="str">
        <x:v>국내 가공처</x:v>
      </x:c>
      <x:c r="I15" s="42" t="str">
        <x:v>도면견적</x:v>
      </x:c>
      <x:c r="J15" s="46"/>
      <x:c r="K15" s="46" t="n">
        <x:v>50000</x:v>
      </x:c>
      <x:c r="L15" s="42" t="str">
        <x:v>HOLD-CAD</x:v>
      </x:c>
      <x:c r="M15" s="42" t="str">
        <x:v>BLOCK</x:v>
      </x:c>
      <x:c r="N15" s="42" t="str">
        <x:v>견적 필요</x:v>
      </x:c>
      <x:c r="O15" s="42" t="str">
        <x:v>2026-09-17</x:v>
      </x:c>
      <x:c r="P15" s="42" t="str"/>
      <x:c r="Q15" s="42" t="str">
        <x:v>확정 LMB 치수 반영 후 볼트조립형 도면 동결</x:v>
      </x:c>
      <x:c r="R15" s="46" t="str">
        <x:f>IF(ISNUMBER(J15),F15*J15,"")</x:f>
      </x:c>
      <x:c r="S15" s="46" t="n">
        <x:f>F15*K15</x:f>
        <x:v>150000</x:v>
      </x:c>
    </x:row>
    <x:row r="16" ht="42" customHeight="1">
      <x:c r="A16" s="42" t="str">
        <x:v>C04</x:v>
      </x:c>
      <x:c r="B16" s="42" t="str">
        <x:v>가공</x:v>
      </x:c>
      <x:c r="C16" s="42" t="str">
        <x:v>BASE</x:v>
      </x:c>
      <x:c r="D16" s="42" t="str">
        <x:v>하부 스토퍼 포획판 FRONT</x:v>
      </x:c>
      <x:c r="E16" s="42" t="str">
        <x:v>A6061-T6, 기존 Rev E 형상 재검증</x:v>
      </x:c>
      <x:c r="F16" s="44" t="n">
        <x:v>1</x:v>
      </x:c>
      <x:c r="G16" s="42" t="str">
        <x:v>EA</x:v>
      </x:c>
      <x:c r="H16" s="42" t="str">
        <x:v>국내 가공처</x:v>
      </x:c>
      <x:c r="I16" s="42" t="str">
        <x:v>도면견적</x:v>
      </x:c>
      <x:c r="J16" s="46"/>
      <x:c r="K16" s="46" t="n">
        <x:v>60000</x:v>
      </x:c>
      <x:c r="L16" s="42" t="str">
        <x:v>HOLD-STOP-AUDIT</x:v>
      </x:c>
      <x:c r="M16" s="42" t="str">
        <x:v>BLOCK</x:v>
      </x:c>
      <x:c r="N16" s="42" t="str">
        <x:v>견적 필요</x:v>
      </x:c>
      <x:c r="O16" s="42" t="str">
        <x:v>2026-09-17</x:v>
      </x:c>
      <x:c r="P16" s="42" t="str"/>
      <x:c r="Q16" s="42" t="str">
        <x:v>릴리스형 필수; 접촉하중·변경형 간섭 검증</x:v>
      </x:c>
      <x:c r="R16" s="46" t="str">
        <x:f>IF(ISNUMBER(J16),F16*J16,"")</x:f>
      </x:c>
      <x:c r="S16" s="46" t="n">
        <x:f>F16*K16</x:f>
        <x:v>60000</x:v>
      </x:c>
    </x:row>
    <x:row r="17" ht="42" customHeight="1">
      <x:c r="A17" s="42" t="str">
        <x:v>C05</x:v>
      </x:c>
      <x:c r="B17" s="42" t="str">
        <x:v>가공</x:v>
      </x:c>
      <x:c r="C17" s="42" t="str">
        <x:v>BASE</x:v>
      </x:c>
      <x:c r="D17" s="42" t="str">
        <x:v>하부 스토퍼 포획판 REAR</x:v>
      </x:c>
      <x:c r="E17" s="42" t="str">
        <x:v>A6061-T6, 기존 Rev E 형상 재검증</x:v>
      </x:c>
      <x:c r="F17" s="44" t="n">
        <x:v>2</x:v>
      </x:c>
      <x:c r="G17" s="42" t="str">
        <x:v>EA</x:v>
      </x:c>
      <x:c r="H17" s="42" t="str">
        <x:v>국내 가공처</x:v>
      </x:c>
      <x:c r="I17" s="42" t="str">
        <x:v>도면견적</x:v>
      </x:c>
      <x:c r="J17" s="46"/>
      <x:c r="K17" s="46" t="n">
        <x:v>60000</x:v>
      </x:c>
      <x:c r="L17" s="42" t="str">
        <x:v>HOLD-STOP-AUDIT</x:v>
      </x:c>
      <x:c r="M17" s="42" t="str">
        <x:v>BLOCK</x:v>
      </x:c>
      <x:c r="N17" s="42" t="str">
        <x:v>견적 필요</x:v>
      </x:c>
      <x:c r="O17" s="42" t="str">
        <x:v>2026-09-17</x:v>
      </x:c>
      <x:c r="P17" s="42" t="str"/>
      <x:c r="Q17" s="42" t="str">
        <x:v>릴리스형 필수</x:v>
      </x:c>
      <x:c r="R17" s="46" t="str">
        <x:f>IF(ISNUMBER(J17),F17*J17,"")</x:f>
      </x:c>
      <x:c r="S17" s="46" t="n">
        <x:f>F17*K17</x:f>
        <x:v>120000</x:v>
      </x:c>
    </x:row>
    <x:row r="18" ht="42" customHeight="1">
      <x:c r="A18" s="42" t="str">
        <x:v>C06</x:v>
      </x:c>
      <x:c r="B18" s="42" t="str">
        <x:v>가공</x:v>
      </x:c>
      <x:c r="C18" s="42" t="str">
        <x:v>BASE</x:v>
      </x:c>
      <x:c r="D18" s="42" t="str">
        <x:v>상부 스토퍼 앵커 FRONT</x:v>
      </x:c>
      <x:c r="E18" s="42" t="str">
        <x:v>A6061-T6, 기존 Rev E 형상 재검증</x:v>
      </x:c>
      <x:c r="F18" s="44" t="n">
        <x:v>1</x:v>
      </x:c>
      <x:c r="G18" s="42" t="str">
        <x:v>EA</x:v>
      </x:c>
      <x:c r="H18" s="42" t="str">
        <x:v>국내 가공처</x:v>
      </x:c>
      <x:c r="I18" s="42" t="str">
        <x:v>도면견적</x:v>
      </x:c>
      <x:c r="J18" s="46"/>
      <x:c r="K18" s="46" t="n">
        <x:v>40000</x:v>
      </x:c>
      <x:c r="L18" s="42" t="str">
        <x:v>HOLD-STOP-AUDIT</x:v>
      </x:c>
      <x:c r="M18" s="42" t="str">
        <x:v>BLOCK</x:v>
      </x:c>
      <x:c r="N18" s="42" t="str">
        <x:v>견적 필요</x:v>
      </x:c>
      <x:c r="O18" s="42" t="str">
        <x:v>2026-09-17</x:v>
      </x:c>
      <x:c r="P18" s="42" t="str"/>
      <x:c r="Q18" s="42" t="str">
        <x:v>릴리스형 필수</x:v>
      </x:c>
      <x:c r="R18" s="46" t="str">
        <x:f>IF(ISNUMBER(J18),F18*J18,"")</x:f>
      </x:c>
      <x:c r="S18" s="46" t="n">
        <x:f>F18*K18</x:f>
        <x:v>40000</x:v>
      </x:c>
    </x:row>
    <x:row r="19" ht="42" customHeight="1">
      <x:c r="A19" s="42" t="str">
        <x:v>C07</x:v>
      </x:c>
      <x:c r="B19" s="42" t="str">
        <x:v>가공</x:v>
      </x:c>
      <x:c r="C19" s="42" t="str">
        <x:v>BASE</x:v>
      </x:c>
      <x:c r="D19" s="42" t="str">
        <x:v>상부 스토퍼 앵커 REAR</x:v>
      </x:c>
      <x:c r="E19" s="42" t="str">
        <x:v>A6061-T6, 기존 Rev E 형상 재검증</x:v>
      </x:c>
      <x:c r="F19" s="44" t="n">
        <x:v>2</x:v>
      </x:c>
      <x:c r="G19" s="42" t="str">
        <x:v>EA</x:v>
      </x:c>
      <x:c r="H19" s="42" t="str">
        <x:v>국내 가공처</x:v>
      </x:c>
      <x:c r="I19" s="42" t="str">
        <x:v>도면견적</x:v>
      </x:c>
      <x:c r="J19" s="46"/>
      <x:c r="K19" s="46" t="n">
        <x:v>40000</x:v>
      </x:c>
      <x:c r="L19" s="42" t="str">
        <x:v>HOLD-STOP-AUDIT</x:v>
      </x:c>
      <x:c r="M19" s="42" t="str">
        <x:v>BLOCK</x:v>
      </x:c>
      <x:c r="N19" s="42" t="str">
        <x:v>견적 필요</x:v>
      </x:c>
      <x:c r="O19" s="42" t="str">
        <x:v>2026-09-17</x:v>
      </x:c>
      <x:c r="P19" s="42" t="str"/>
      <x:c r="Q19" s="42" t="str">
        <x:v>릴리스형 필수</x:v>
      </x:c>
      <x:c r="R19" s="46" t="str">
        <x:f>IF(ISNUMBER(J19),F19*J19,"")</x:f>
      </x:c>
      <x:c r="S19" s="46" t="n">
        <x:f>F19*K19</x:f>
        <x:v>80000</x:v>
      </x:c>
    </x:row>
    <x:row r="20" ht="42" customHeight="1">
      <x:c r="A20" s="42" t="str">
        <x:v>C08</x:v>
      </x:c>
      <x:c r="B20" s="42" t="str">
        <x:v>가공</x:v>
      </x:c>
      <x:c r="C20" s="42" t="str">
        <x:v>BASE</x:v>
      </x:c>
      <x:c r="D20" s="42" t="str">
        <x:v>스토퍼 접촉바</x:v>
      </x:c>
      <x:c r="E20" s="42" t="str">
        <x:v>A6061-T6, 기존 Rev E 형상 재검증</x:v>
      </x:c>
      <x:c r="F20" s="44" t="n">
        <x:v>6</x:v>
      </x:c>
      <x:c r="G20" s="42" t="str">
        <x:v>EA</x:v>
      </x:c>
      <x:c r="H20" s="42" t="str">
        <x:v>국내 가공처</x:v>
      </x:c>
      <x:c r="I20" s="42" t="str">
        <x:v>도면견적</x:v>
      </x:c>
      <x:c r="J20" s="46"/>
      <x:c r="K20" s="46" t="n">
        <x:v>20000</x:v>
      </x:c>
      <x:c r="L20" s="42" t="str">
        <x:v>HOLD-STOP-AUDIT</x:v>
      </x:c>
      <x:c r="M20" s="42" t="str">
        <x:v>BLOCK</x:v>
      </x:c>
      <x:c r="N20" s="42" t="str">
        <x:v>견적 필요</x:v>
      </x:c>
      <x:c r="O20" s="42" t="str">
        <x:v>2026-09-17</x:v>
      </x:c>
      <x:c r="P20" s="42" t="str"/>
      <x:c r="Q20" s="42" t="str">
        <x:v>축당 상·하 2개</x:v>
      </x:c>
      <x:c r="R20" s="46" t="str">
        <x:f>IF(ISNUMBER(J20),F20*J20,"")</x:f>
      </x:c>
      <x:c r="S20" s="46" t="n">
        <x:f>F20*K20</x:f>
        <x:v>120000</x:v>
      </x:c>
    </x:row>
    <x:row r="21" ht="42" customHeight="1">
      <x:c r="A21" s="42" t="str">
        <x:v>C09</x:v>
      </x:c>
      <x:c r="B21" s="42" t="str">
        <x:v>가공</x:v>
      </x:c>
      <x:c r="C21" s="42" t="str">
        <x:v>BASE</x:v>
      </x:c>
      <x:c r="D21" s="42" t="str">
        <x:v>스토퍼 관통 스탠드오프</x:v>
      </x:c>
      <x:c r="E21" s="42" t="str">
        <x:v>A6061, 기존 Rev E 형상 재검증</x:v>
      </x:c>
      <x:c r="F21" s="44" t="n">
        <x:v>6</x:v>
      </x:c>
      <x:c r="G21" s="42" t="str">
        <x:v>EA</x:v>
      </x:c>
      <x:c r="H21" s="42" t="str">
        <x:v>국내 가공처</x:v>
      </x:c>
      <x:c r="I21" s="42" t="str">
        <x:v>도면견적</x:v>
      </x:c>
      <x:c r="J21" s="46"/>
      <x:c r="K21" s="46" t="n">
        <x:v>10000</x:v>
      </x:c>
      <x:c r="L21" s="42" t="str">
        <x:v>HOLD-STOP-AUDIT</x:v>
      </x:c>
      <x:c r="M21" s="42" t="str">
        <x:v>BLOCK</x:v>
      </x:c>
      <x:c r="N21" s="42" t="str">
        <x:v>견적 필요</x:v>
      </x:c>
      <x:c r="O21" s="42" t="str">
        <x:v>2026-09-17</x:v>
      </x:c>
      <x:c r="P21" s="42" t="str"/>
      <x:c r="Q21" s="42" t="str">
        <x:v>릴리스형 필수</x:v>
      </x:c>
      <x:c r="R21" s="46" t="str">
        <x:f>IF(ISNUMBER(J21),F21*J21,"")</x:f>
      </x:c>
      <x:c r="S21" s="46" t="n">
        <x:f>F21*K21</x:f>
        <x:v>60000</x:v>
      </x:c>
    </x:row>
    <x:row r="22" ht="42" customHeight="1">
      <x:c r="A22" s="42" t="str">
        <x:v>F01</x:v>
      </x:c>
      <x:c r="B22" s="42" t="str">
        <x:v>체결</x:v>
      </x:c>
      <x:c r="C22" s="42" t="str">
        <x:v>BASE</x:v>
      </x:c>
      <x:c r="D22" s="42" t="str">
        <x:v>M8×16 육각렌치볼트</x:v>
      </x:c>
      <x:c r="E22" s="42" t="str">
        <x:v>10.9급, 하부 브래킷/LMB</x:v>
      </x:c>
      <x:c r="F22" s="44" t="n">
        <x:v>1</x:v>
      </x:c>
      <x:c r="G22" s="42" t="str">
        <x:v>PK</x:v>
      </x:c>
      <x:c r="H22" s="42" t="str">
        <x:v>엘레파츠</x:v>
      </x:c>
      <x:c r="I22" s="42" t="str">
        <x:v>선정 필요</x:v>
      </x:c>
      <x:c r="J22" s="46"/>
      <x:c r="K22" s="46" t="n">
        <x:v>10000</x:v>
      </x:c>
      <x:c r="L22" s="42" t="str">
        <x:v>SKU선정</x:v>
      </x:c>
      <x:c r="M22" s="42" t="str">
        <x:v>BLOCK</x:v>
      </x:c>
      <x:c r="N22" s="42" t="str">
        <x:v>확인 필요</x:v>
      </x:c>
      <x:c r="O22" s="42" t="str">
        <x:v>2026-09-17</x:v>
      </x:c>
      <x:c r="P22" s="42" t="str">
        <x:v>https://eleparts.co.kr/</x:v>
      </x:c>
      <x:c r="Q22" s="42" t="str">
        <x:v>필요수량 22개 이상</x:v>
      </x:c>
      <x:c r="R22" s="46" t="str">
        <x:f>IF(ISNUMBER(J22),F22*J22,"")</x:f>
      </x:c>
      <x:c r="S22" s="46" t="n">
        <x:f>F22*K22</x:f>
        <x:v>10000</x:v>
      </x:c>
    </x:row>
    <x:row r="23" ht="42" customHeight="1">
      <x:c r="A23" s="42" t="str">
        <x:v>F02</x:v>
      </x:c>
      <x:c r="B23" s="42" t="str">
        <x:v>체결</x:v>
      </x:c>
      <x:c r="C23" s="42" t="str">
        <x:v>BASE</x:v>
      </x:c>
      <x:c r="D23" s="42" t="str">
        <x:v>M6×15 육각렌치볼트</x:v>
      </x:c>
      <x:c r="E23" s="42" t="str">
        <x:v>10.9급, 상부 브래킷</x:v>
      </x:c>
      <x:c r="F23" s="44" t="n">
        <x:v>1</x:v>
      </x:c>
      <x:c r="G23" s="42" t="str">
        <x:v>PK</x:v>
      </x:c>
      <x:c r="H23" s="42" t="str">
        <x:v>엘레파츠</x:v>
      </x:c>
      <x:c r="I23" s="42" t="str">
        <x:v>선정 필요</x:v>
      </x:c>
      <x:c r="J23" s="46"/>
      <x:c r="K23" s="46" t="n">
        <x:v>8000</x:v>
      </x:c>
      <x:c r="L23" s="42" t="str">
        <x:v>SKU선정</x:v>
      </x:c>
      <x:c r="M23" s="42" t="str">
        <x:v>BLOCK</x:v>
      </x:c>
      <x:c r="N23" s="42" t="str">
        <x:v>확인 필요</x:v>
      </x:c>
      <x:c r="O23" s="42" t="str">
        <x:v>2026-09-17</x:v>
      </x:c>
      <x:c r="P23" s="42" t="str">
        <x:v>https://eleparts.co.kr/</x:v>
      </x:c>
      <x:c r="Q23" s="42" t="str">
        <x:v>필요수량 16개 이상</x:v>
      </x:c>
      <x:c r="R23" s="46" t="str">
        <x:f>IF(ISNUMBER(J23),F23*J23,"")</x:f>
      </x:c>
      <x:c r="S23" s="46" t="n">
        <x:f>F23*K23</x:f>
        <x:v>8000</x:v>
      </x:c>
    </x:row>
    <x:row r="24" ht="42" customHeight="1">
      <x:c r="A24" s="42" t="str">
        <x:v>F03</x:v>
      </x:c>
      <x:c r="B24" s="42" t="str">
        <x:v>체결</x:v>
      </x:c>
      <x:c r="C24" s="42" t="str">
        <x:v>BASE</x:v>
      </x:c>
      <x:c r="D24" s="42" t="str">
        <x:v>M8×20 육각렌치볼트</x:v>
      </x:c>
      <x:c r="E24" s="42" t="str">
        <x:v>어댑터-4040</x:v>
      </x:c>
      <x:c r="F24" s="44" t="n">
        <x:v>1</x:v>
      </x:c>
      <x:c r="G24" s="42" t="str">
        <x:v>PK</x:v>
      </x:c>
      <x:c r="H24" s="42" t="str">
        <x:v>엘레파츠</x:v>
      </x:c>
      <x:c r="I24" s="42" t="str">
        <x:v>선정 필요</x:v>
      </x:c>
      <x:c r="J24" s="46"/>
      <x:c r="K24" s="46" t="n">
        <x:v>10000</x:v>
      </x:c>
      <x:c r="L24" s="42" t="str">
        <x:v>SKU선정</x:v>
      </x:c>
      <x:c r="M24" s="42" t="str">
        <x:v>BLOCK</x:v>
      </x:c>
      <x:c r="N24" s="42" t="str">
        <x:v>확인 필요</x:v>
      </x:c>
      <x:c r="O24" s="42" t="str">
        <x:v>2026-09-17</x:v>
      </x:c>
      <x:c r="P24" s="42" t="str">
        <x:v>https://eleparts.co.kr/</x:v>
      </x:c>
      <x:c r="Q24" s="42" t="str">
        <x:v>필요수량 6개 이상</x:v>
      </x:c>
      <x:c r="R24" s="46" t="str">
        <x:f>IF(ISNUMBER(J24),F24*J24,"")</x:f>
      </x:c>
      <x:c r="S24" s="46" t="n">
        <x:f>F24*K24</x:f>
        <x:v>10000</x:v>
      </x:c>
    </x:row>
    <x:row r="25" ht="42" customHeight="1">
      <x:c r="A25" s="42" t="str">
        <x:v>F04</x:v>
      </x:c>
      <x:c r="B25" s="42" t="str">
        <x:v>체결</x:v>
      </x:c>
      <x:c r="C25" s="42" t="str">
        <x:v>BASE</x:v>
      </x:c>
      <x:c r="D25" s="42" t="str">
        <x:v>M8 평와셔</x:v>
      </x:c>
      <x:c r="E25" s="42" t="str">
        <x:v>LMB 체결</x:v>
      </x:c>
      <x:c r="F25" s="44" t="n">
        <x:v>1</x:v>
      </x:c>
      <x:c r="G25" s="42" t="str">
        <x:v>PK</x:v>
      </x:c>
      <x:c r="H25" s="42" t="str">
        <x:v>엘레파츠</x:v>
      </x:c>
      <x:c r="I25" s="42" t="str">
        <x:v>선정 필요</x:v>
      </x:c>
      <x:c r="J25" s="46"/>
      <x:c r="K25" s="46" t="n">
        <x:v>7000</x:v>
      </x:c>
      <x:c r="L25" s="42" t="str">
        <x:v>SKU선정</x:v>
      </x:c>
      <x:c r="M25" s="42" t="str">
        <x:v>BLOCK</x:v>
      </x:c>
      <x:c r="N25" s="42" t="str">
        <x:v>확인 필요</x:v>
      </x:c>
      <x:c r="O25" s="42" t="str">
        <x:v>2026-09-17</x:v>
      </x:c>
      <x:c r="P25" s="42" t="str">
        <x:v>https://eleparts.co.kr/</x:v>
      </x:c>
      <x:c r="Q25" s="42" t="str">
        <x:v>필요수량 6개 이상</x:v>
      </x:c>
      <x:c r="R25" s="46" t="str">
        <x:f>IF(ISNUMBER(J25),F25*J25,"")</x:f>
      </x:c>
      <x:c r="S25" s="46" t="n">
        <x:f>F25*K25</x:f>
        <x:v>7000</x:v>
      </x:c>
    </x:row>
    <x:row r="26" ht="42" customHeight="1">
      <x:c r="A26" s="42" t="str">
        <x:v>F05</x:v>
      </x:c>
      <x:c r="B26" s="42" t="str">
        <x:v>체결</x:v>
      </x:c>
      <x:c r="C26" s="42" t="str">
        <x:v>BASE</x:v>
      </x:c>
      <x:c r="D26" s="42" t="str">
        <x:v>M8 스프링와셔</x:v>
      </x:c>
      <x:c r="E26" s="42" t="str">
        <x:v>LMB 체결</x:v>
      </x:c>
      <x:c r="F26" s="44" t="n">
        <x:v>1</x:v>
      </x:c>
      <x:c r="G26" s="42" t="str">
        <x:v>PK</x:v>
      </x:c>
      <x:c r="H26" s="42" t="str">
        <x:v>엘레파츠</x:v>
      </x:c>
      <x:c r="I26" s="42" t="str">
        <x:v>선정 필요</x:v>
      </x:c>
      <x:c r="J26" s="46"/>
      <x:c r="K26" s="46" t="n">
        <x:v>5000</x:v>
      </x:c>
      <x:c r="L26" s="42" t="str">
        <x:v>SKU선정</x:v>
      </x:c>
      <x:c r="M26" s="42" t="str">
        <x:v>BLOCK</x:v>
      </x:c>
      <x:c r="N26" s="42" t="str">
        <x:v>확인 필요</x:v>
      </x:c>
      <x:c r="O26" s="42" t="str">
        <x:v>2026-09-17</x:v>
      </x:c>
      <x:c r="P26" s="42" t="str">
        <x:v>https://eleparts.co.kr/</x:v>
      </x:c>
      <x:c r="Q26" s="42" t="str">
        <x:v>필요수량 6개 이상</x:v>
      </x:c>
      <x:c r="R26" s="46" t="str">
        <x:f>IF(ISNUMBER(J26),F26*J26,"")</x:f>
      </x:c>
      <x:c r="S26" s="46" t="n">
        <x:f>F26*K26</x:f>
        <x:v>5000</x:v>
      </x:c>
    </x:row>
    <x:row r="27" ht="42" customHeight="1">
      <x:c r="A27" s="42" t="str">
        <x:v>F06</x:v>
      </x:c>
      <x:c r="B27" s="42" t="str">
        <x:v>체결</x:v>
      </x:c>
      <x:c r="C27" s="42" t="str">
        <x:v>BASE</x:v>
      </x:c>
      <x:c r="D27" s="42" t="str">
        <x:v>40시리즈 M8 스프링너트</x:v>
      </x:c>
      <x:c r="E27" s="42" t="str">
        <x:v>4040 프로파일</x:v>
      </x:c>
      <x:c r="F27" s="44" t="n">
        <x:v>1</x:v>
      </x:c>
      <x:c r="G27" s="42" t="str">
        <x:v>PK</x:v>
      </x:c>
      <x:c r="H27" s="42" t="str">
        <x:v>엘레파츠</x:v>
      </x:c>
      <x:c r="I27" s="42" t="str">
        <x:v>선정 필요</x:v>
      </x:c>
      <x:c r="J27" s="46"/>
      <x:c r="K27" s="46" t="n">
        <x:v>30000</x:v>
      </x:c>
      <x:c r="L27" s="42" t="str">
        <x:v>SKU선정</x:v>
      </x:c>
      <x:c r="M27" s="42" t="str">
        <x:v>BLOCK</x:v>
      </x:c>
      <x:c r="N27" s="42" t="str">
        <x:v>확인 필요</x:v>
      </x:c>
      <x:c r="O27" s="42" t="str">
        <x:v>2026-09-17</x:v>
      </x:c>
      <x:c r="P27" s="42" t="str">
        <x:v>https://eleparts.co.kr/goods/catalog?code=001200150007</x:v>
      </x:c>
      <x:c r="Q27" s="42" t="str">
        <x:v>릴리스형 스토퍼 포함 필요수량 재산정</x:v>
      </x:c>
      <x:c r="R27" s="46" t="str">
        <x:f>IF(ISNUMBER(J27),F27*J27,"")</x:f>
      </x:c>
      <x:c r="S27" s="46" t="n">
        <x:f>F27*K27</x:f>
        <x:v>30000</x:v>
      </x:c>
    </x:row>
    <x:row r="28" ht="42" customHeight="1">
      <x:c r="A28" s="42" t="str">
        <x:v>F07</x:v>
      </x:c>
      <x:c r="B28" s="42" t="str">
        <x:v>체결</x:v>
      </x:c>
      <x:c r="C28" s="42" t="str">
        <x:v>BASE</x:v>
      </x:c>
      <x:c r="D28" s="42" t="str">
        <x:v>30시리즈 M6 스프링너트</x:v>
      </x:c>
      <x:c r="E28" s="42" t="str">
        <x:v>3030 프로파일</x:v>
      </x:c>
      <x:c r="F28" s="44" t="n">
        <x:v>1</x:v>
      </x:c>
      <x:c r="G28" s="42" t="str">
        <x:v>PK</x:v>
      </x:c>
      <x:c r="H28" s="42" t="str">
        <x:v>엘레파츠</x:v>
      </x:c>
      <x:c r="I28" s="42" t="str">
        <x:v>선정 필요</x:v>
      </x:c>
      <x:c r="J28" s="46"/>
      <x:c r="K28" s="46" t="n">
        <x:v>30000</x:v>
      </x:c>
      <x:c r="L28" s="42" t="str">
        <x:v>SKU선정</x:v>
      </x:c>
      <x:c r="M28" s="42" t="str">
        <x:v>BLOCK</x:v>
      </x:c>
      <x:c r="N28" s="42" t="str">
        <x:v>확인 필요</x:v>
      </x:c>
      <x:c r="O28" s="42" t="str">
        <x:v>2026-09-17</x:v>
      </x:c>
      <x:c r="P28" s="42" t="str">
        <x:v>https://eleparts.co.kr/goods/catalog?code=0012001500070002</x:v>
      </x:c>
      <x:c r="Q28" s="42" t="str">
        <x:v>상부 브래킷·PHS·스토퍼 앵커 결합</x:v>
      </x:c>
      <x:c r="R28" s="46" t="str">
        <x:f>IF(ISNUMBER(J28),F28*J28,"")</x:f>
      </x:c>
      <x:c r="S28" s="46" t="n">
        <x:f>F28*K28</x:f>
        <x:v>30000</x:v>
      </x:c>
    </x:row>
    <x:row r="29" ht="42" customHeight="1">
      <x:c r="A29" s="42" t="str">
        <x:v>F08</x:v>
      </x:c>
      <x:c r="B29" s="42" t="str">
        <x:v>체결</x:v>
      </x:c>
      <x:c r="C29" s="42" t="str">
        <x:v>BASE</x:v>
      </x:c>
      <x:c r="D29" s="42" t="str">
        <x:v>M6×50 반나사 볼트</x:v>
      </x:c>
      <x:c r="E29" s="42" t="str">
        <x:v>상부 피벗</x:v>
      </x:c>
      <x:c r="F29" s="44" t="n">
        <x:v>1</x:v>
      </x:c>
      <x:c r="G29" s="42" t="str">
        <x:v>PK</x:v>
      </x:c>
      <x:c r="H29" s="42" t="str">
        <x:v>엘레파츠</x:v>
      </x:c>
      <x:c r="I29" s="42" t="str">
        <x:v>선정 필요</x:v>
      </x:c>
      <x:c r="J29" s="46"/>
      <x:c r="K29" s="46" t="n">
        <x:v>7000</x:v>
      </x:c>
      <x:c r="L29" s="42" t="str">
        <x:v>HOLD-STACK</x:v>
      </x:c>
      <x:c r="M29" s="42" t="str">
        <x:v>BLOCK</x:v>
      </x:c>
      <x:c r="N29" s="42" t="str">
        <x:v>확인 필요</x:v>
      </x:c>
      <x:c r="O29" s="42" t="str">
        <x:v>2026-09-17</x:v>
      </x:c>
      <x:c r="P29" s="42" t="str">
        <x:v>https://eleparts.co.kr/</x:v>
      </x:c>
      <x:c r="Q29" s="42" t="str">
        <x:v>실물 적층폭 확인</x:v>
      </x:c>
      <x:c r="R29" s="46" t="str">
        <x:f>IF(ISNUMBER(J29),F29*J29,"")</x:f>
      </x:c>
      <x:c r="S29" s="46" t="n">
        <x:f>F29*K29</x:f>
        <x:v>7000</x:v>
      </x:c>
    </x:row>
    <x:row r="30" ht="42" customHeight="1">
      <x:c r="A30" s="42" t="str">
        <x:v>F09</x:v>
      </x:c>
      <x:c r="B30" s="42" t="str">
        <x:v>체결</x:v>
      </x:c>
      <x:c r="C30" s="42" t="str">
        <x:v>BASE</x:v>
      </x:c>
      <x:c r="D30" s="42" t="str">
        <x:v>M6 평와셔</x:v>
      </x:c>
      <x:c r="E30" s="42" t="str">
        <x:v>상부 피벗</x:v>
      </x:c>
      <x:c r="F30" s="44" t="n">
        <x:v>1</x:v>
      </x:c>
      <x:c r="G30" s="42" t="str">
        <x:v>PK</x:v>
      </x:c>
      <x:c r="H30" s="42" t="str">
        <x:v>엘레파츠</x:v>
      </x:c>
      <x:c r="I30" s="42" t="str">
        <x:v>선정 필요</x:v>
      </x:c>
      <x:c r="J30" s="46"/>
      <x:c r="K30" s="46" t="n">
        <x:v>4000</x:v>
      </x:c>
      <x:c r="L30" s="42" t="str">
        <x:v>HOLD-STACK</x:v>
      </x:c>
      <x:c r="M30" s="42" t="str">
        <x:v>BLOCK</x:v>
      </x:c>
      <x:c r="N30" s="42" t="str">
        <x:v>확인 필요</x:v>
      </x:c>
      <x:c r="O30" s="42" t="str">
        <x:v>2026-09-17</x:v>
      </x:c>
      <x:c r="P30" s="42" t="str">
        <x:v>https://eleparts.co.kr/</x:v>
      </x:c>
      <x:c r="Q30" s="42" t="str">
        <x:v>축당 2개 기준</x:v>
      </x:c>
      <x:c r="R30" s="46" t="str">
        <x:f>IF(ISNUMBER(J30),F30*J30,"")</x:f>
      </x:c>
      <x:c r="S30" s="46" t="n">
        <x:f>F30*K30</x:f>
        <x:v>4000</x:v>
      </x:c>
    </x:row>
    <x:row r="31" ht="42" customHeight="1">
      <x:c r="A31" s="42" t="str">
        <x:v>F10</x:v>
      </x:c>
      <x:c r="B31" s="42" t="str">
        <x:v>체결</x:v>
      </x:c>
      <x:c r="C31" s="42" t="str">
        <x:v>BASE</x:v>
      </x:c>
      <x:c r="D31" s="42" t="str">
        <x:v>M6 나일론 인서트 너트</x:v>
      </x:c>
      <x:c r="E31" s="42" t="str">
        <x:v>상부 피벗</x:v>
      </x:c>
      <x:c r="F31" s="44" t="n">
        <x:v>1</x:v>
      </x:c>
      <x:c r="G31" s="42" t="str">
        <x:v>PK</x:v>
      </x:c>
      <x:c r="H31" s="42" t="str">
        <x:v>엘레파츠</x:v>
      </x:c>
      <x:c r="I31" s="42" t="str">
        <x:v>선정 필요</x:v>
      </x:c>
      <x:c r="J31" s="46"/>
      <x:c r="K31" s="46" t="n">
        <x:v>10000</x:v>
      </x:c>
      <x:c r="L31" s="42" t="str">
        <x:v>SKU선정</x:v>
      </x:c>
      <x:c r="M31" s="42" t="str">
        <x:v>BLOCK</x:v>
      </x:c>
      <x:c r="N31" s="42" t="str">
        <x:v>확인 필요</x:v>
      </x:c>
      <x:c r="O31" s="42" t="str">
        <x:v>2026-09-17</x:v>
      </x:c>
      <x:c r="P31" s="42" t="str">
        <x:v>https://eleparts.co.kr/</x:v>
      </x:c>
      <x:c r="Q31" s="42" t="str">
        <x:v>필요수량 3개 이상</x:v>
      </x:c>
      <x:c r="R31" s="46" t="str">
        <x:f>IF(ISNUMBER(J31),F31*J31,"")</x:f>
      </x:c>
      <x:c r="S31" s="46" t="n">
        <x:f>F31*K31</x:f>
        <x:v>10000</x:v>
      </x:c>
    </x:row>
    <x:row r="32" ht="42" customHeight="1">
      <x:c r="A32" s="42" t="str">
        <x:v>F11</x:v>
      </x:c>
      <x:c r="B32" s="42" t="str">
        <x:v>체결</x:v>
      </x:c>
      <x:c r="C32" s="42" t="str">
        <x:v>BASE</x:v>
      </x:c>
      <x:c r="D32" s="42" t="str">
        <x:v>M6 전산볼트 또는 스터드</x:v>
      </x:c>
      <x:c r="E32" s="42" t="str">
        <x:v>PHS-상부 슬롯</x:v>
      </x:c>
      <x:c r="F32" s="44" t="n">
        <x:v>1</x:v>
      </x:c>
      <x:c r="G32" s="42" t="str">
        <x:v>EA</x:v>
      </x:c>
      <x:c r="H32" s="42" t="str">
        <x:v>엘레파츠</x:v>
      </x:c>
      <x:c r="I32" s="42" t="str">
        <x:v>선정 필요</x:v>
      </x:c>
      <x:c r="J32" s="46"/>
      <x:c r="K32" s="46" t="n">
        <x:v>5000</x:v>
      </x:c>
      <x:c r="L32" s="42" t="str">
        <x:v>HOLD-LENGTH</x:v>
      </x:c>
      <x:c r="M32" s="42" t="str">
        <x:v>BLOCK</x:v>
      </x:c>
      <x:c r="N32" s="42" t="str">
        <x:v>확인 필요</x:v>
      </x:c>
      <x:c r="O32" s="42" t="str">
        <x:v>2026-09-17</x:v>
      </x:c>
      <x:c r="P32" s="42" t="str">
        <x:v>https://eleparts.co.kr/</x:v>
      </x:c>
      <x:c r="Q32" s="42" t="str">
        <x:v>3개 절단 길이 확정</x:v>
      </x:c>
      <x:c r="R32" s="46" t="str">
        <x:f>IF(ISNUMBER(J32),F32*J32,"")</x:f>
      </x:c>
      <x:c r="S32" s="46" t="n">
        <x:f>F32*K32</x:f>
        <x:v>5000</x:v>
      </x:c>
    </x:row>
    <x:row r="33" ht="42" customHeight="1">
      <x:c r="A33" s="42" t="str">
        <x:v>F12</x:v>
      </x:c>
      <x:c r="B33" s="42" t="str">
        <x:v>체결</x:v>
      </x:c>
      <x:c r="C33" s="42" t="str">
        <x:v>BASE</x:v>
      </x:c>
      <x:c r="D33" s="42" t="str">
        <x:v>M6 잼너트</x:v>
      </x:c>
      <x:c r="E33" s="42" t="str">
        <x:v>PHS 스터드 잠금</x:v>
      </x:c>
      <x:c r="F33" s="44" t="n">
        <x:v>1</x:v>
      </x:c>
      <x:c r="G33" s="42" t="str">
        <x:v>PK</x:v>
      </x:c>
      <x:c r="H33" s="42" t="str">
        <x:v>엘레파츠</x:v>
      </x:c>
      <x:c r="I33" s="42" t="str">
        <x:v>선정 필요</x:v>
      </x:c>
      <x:c r="J33" s="46"/>
      <x:c r="K33" s="46" t="n">
        <x:v>7000</x:v>
      </x:c>
      <x:c r="L33" s="42" t="str">
        <x:v>SKU선정</x:v>
      </x:c>
      <x:c r="M33" s="42" t="str">
        <x:v>BLOCK</x:v>
      </x:c>
      <x:c r="N33" s="42" t="str">
        <x:v>확인 필요</x:v>
      </x:c>
      <x:c r="O33" s="42" t="str">
        <x:v>2026-09-17</x:v>
      </x:c>
      <x:c r="P33" s="42" t="str">
        <x:v>https://eleparts.co.kr/</x:v>
      </x:c>
      <x:c r="Q33" s="42" t="str">
        <x:v>필요수량 6개 이상</x:v>
      </x:c>
      <x:c r="R33" s="46" t="str">
        <x:f>IF(ISNUMBER(J33),F33*J33,"")</x:f>
      </x:c>
      <x:c r="S33" s="46" t="n">
        <x:f>F33*K33</x:f>
        <x:v>7000</x:v>
      </x:c>
    </x:row>
    <x:row r="34" ht="42" customHeight="1">
      <x:c r="A34" s="42" t="str">
        <x:v>F13</x:v>
      </x:c>
      <x:c r="B34" s="42" t="str">
        <x:v>체결</x:v>
      </x:c>
      <x:c r="C34" s="42" t="str">
        <x:v>BASE</x:v>
      </x:c>
      <x:c r="D34" s="42" t="str">
        <x:v>중강도 나사고정제</x:v>
      </x:c>
      <x:c r="E34" s="42" t="str">
        <x:v>Loctite 243 또는 동급</x:v>
      </x:c>
      <x:c r="F34" s="44" t="n">
        <x:v>1</x:v>
      </x:c>
      <x:c r="G34" s="42" t="str">
        <x:v>EA</x:v>
      </x:c>
      <x:c r="H34" s="42" t="str">
        <x:v>엘레파츠</x:v>
      </x:c>
      <x:c r="I34" s="42" t="str">
        <x:v>선정 필요</x:v>
      </x:c>
      <x:c r="J34" s="46"/>
      <x:c r="K34" s="46" t="n">
        <x:v>12000</x:v>
      </x:c>
      <x:c r="L34" s="42" t="str">
        <x:v>SKU선정</x:v>
      </x:c>
      <x:c r="M34" s="42" t="str">
        <x:v>BLOCK</x:v>
      </x:c>
      <x:c r="N34" s="42" t="str">
        <x:v>확인 필요</x:v>
      </x:c>
      <x:c r="O34" s="42" t="str">
        <x:v>2026-09-17</x:v>
      </x:c>
      <x:c r="P34" s="42" t="str">
        <x:v>https://eleparts.co.kr/</x:v>
      </x:c>
      <x:c r="Q34" s="42" t="str">
        <x:v>비조정부에만 사용</x:v>
      </x:c>
      <x:c r="R34" s="46" t="str">
        <x:f>IF(ISNUMBER(J34),F34*J34,"")</x:f>
      </x:c>
      <x:c r="S34" s="46" t="n">
        <x:f>F34*K34</x:f>
        <x:v>12000</x:v>
      </x:c>
    </x:row>
    <x:row r="35" ht="42" customHeight="1">
      <x:c r="A35" s="42" t="str">
        <x:v>F14</x:v>
      </x:c>
      <x:c r="B35" s="42" t="str">
        <x:v>체결</x:v>
      </x:c>
      <x:c r="C35" s="42" t="str">
        <x:v>BASE</x:v>
      </x:c>
      <x:c r="D35" s="42" t="str">
        <x:v>M10 스토퍼 전산볼트</x:v>
      </x:c>
      <x:c r="E35" s="42" t="str">
        <x:v>길이·절단치 변경형 CAD 후 확정</x:v>
      </x:c>
      <x:c r="F35" s="44" t="n">
        <x:v>3</x:v>
      </x:c>
      <x:c r="G35" s="42" t="str">
        <x:v>EA</x:v>
      </x:c>
      <x:c r="H35" s="42" t="str">
        <x:v>엘레파츠</x:v>
      </x:c>
      <x:c r="I35" s="42" t="str">
        <x:v>선정 필요</x:v>
      </x:c>
      <x:c r="J35" s="46"/>
      <x:c r="K35" s="46" t="n">
        <x:v>5000</x:v>
      </x:c>
      <x:c r="L35" s="42" t="str">
        <x:v>HOLD-STOP-AUDIT</x:v>
      </x:c>
      <x:c r="M35" s="42" t="str">
        <x:v>BLOCK</x:v>
      </x:c>
      <x:c r="N35" s="42" t="str">
        <x:v>확인 필요</x:v>
      </x:c>
      <x:c r="O35" s="42" t="str">
        <x:v>2026-09-17</x:v>
      </x:c>
      <x:c r="P35" s="42" t="str">
        <x:v>https://eleparts.co.kr/</x:v>
      </x:c>
      <x:c r="Q35" s="42" t="str">
        <x:v>릴리스형 필수</x:v>
      </x:c>
      <x:c r="R35" s="46" t="str">
        <x:f>IF(ISNUMBER(J35),F35*J35,"")</x:f>
      </x:c>
      <x:c r="S35" s="46" t="n">
        <x:f>F35*K35</x:f>
        <x:v>15000</x:v>
      </x:c>
    </x:row>
    <x:row r="36" ht="42" customHeight="1">
      <x:c r="A36" s="42" t="str">
        <x:v>F15</x:v>
      </x:c>
      <x:c r="B36" s="42" t="str">
        <x:v>체결</x:v>
      </x:c>
      <x:c r="C36" s="42" t="str">
        <x:v>BASE</x:v>
      </x:c>
      <x:c r="D36" s="42" t="str">
        <x:v>M10 스토퍼 잼너트</x:v>
      </x:c>
      <x:c r="E36" s="42" t="str">
        <x:v>강도등급·수량 변경형 CAD 후 확정</x:v>
      </x:c>
      <x:c r="F36" s="44" t="n">
        <x:v>1</x:v>
      </x:c>
      <x:c r="G36" s="42" t="str">
        <x:v>PK</x:v>
      </x:c>
      <x:c r="H36" s="42" t="str">
        <x:v>엘레파츠</x:v>
      </x:c>
      <x:c r="I36" s="42" t="str">
        <x:v>선정 필요</x:v>
      </x:c>
      <x:c r="J36" s="46"/>
      <x:c r="K36" s="46" t="n">
        <x:v>12000</x:v>
      </x:c>
      <x:c r="L36" s="42" t="str">
        <x:v>HOLD-STOP-AUDIT</x:v>
      </x:c>
      <x:c r="M36" s="42" t="str">
        <x:v>BLOCK</x:v>
      </x:c>
      <x:c r="N36" s="42" t="str">
        <x:v>확인 필요</x:v>
      </x:c>
      <x:c r="O36" s="42" t="str">
        <x:v>2026-09-17</x:v>
      </x:c>
      <x:c r="P36" s="42" t="str">
        <x:v>https://eleparts.co.kr/</x:v>
      </x:c>
      <x:c r="Q36" s="42" t="str">
        <x:v>접촉바·앵커 잠금</x:v>
      </x:c>
      <x:c r="R36" s="46" t="str">
        <x:f>IF(ISNUMBER(J36),F36*J36,"")</x:f>
      </x:c>
      <x:c r="S36" s="46" t="n">
        <x:f>F36*K36</x:f>
        <x:v>12000</x:v>
      </x:c>
    </x:row>
    <x:row r="37" ht="42" customHeight="1">
      <x:c r="A37" s="42" t="str">
        <x:v>F16</x:v>
      </x:c>
      <x:c r="B37" s="42" t="str">
        <x:v>체결</x:v>
      </x:c>
      <x:c r="C37" s="42" t="str">
        <x:v>BASE</x:v>
      </x:c>
      <x:c r="D37" s="42" t="str">
        <x:v>M8 스토퍼 장착볼트</x:v>
      </x:c>
      <x:c r="E37" s="42" t="str">
        <x:v>길이·수량 변경형 CAD 후 확정</x:v>
      </x:c>
      <x:c r="F37" s="44" t="n">
        <x:v>1</x:v>
      </x:c>
      <x:c r="G37" s="42" t="str">
        <x:v>PK</x:v>
      </x:c>
      <x:c r="H37" s="42" t="str">
        <x:v>엘레파츠</x:v>
      </x:c>
      <x:c r="I37" s="42" t="str">
        <x:v>선정 필요</x:v>
      </x:c>
      <x:c r="J37" s="46"/>
      <x:c r="K37" s="46" t="n">
        <x:v>10000</x:v>
      </x:c>
      <x:c r="L37" s="42" t="str">
        <x:v>HOLD-STOP-AUDIT</x:v>
      </x:c>
      <x:c r="M37" s="42" t="str">
        <x:v>BLOCK</x:v>
      </x:c>
      <x:c r="N37" s="42" t="str">
        <x:v>확인 필요</x:v>
      </x:c>
      <x:c r="O37" s="42" t="str">
        <x:v>2026-09-17</x:v>
      </x:c>
      <x:c r="P37" s="42" t="str">
        <x:v>https://eleparts.co.kr/</x:v>
      </x:c>
      <x:c r="Q37" s="42" t="str">
        <x:v>포획판·스탠드오프 장착</x:v>
      </x:c>
      <x:c r="R37" s="46" t="str">
        <x:f>IF(ISNUMBER(J37),F37*J37,"")</x:f>
      </x:c>
      <x:c r="S37" s="46" t="n">
        <x:f>F37*K37</x:f>
        <x:v>10000</x:v>
      </x:c>
    </x:row>
    <x:row r="38" ht="42" customHeight="1">
      <x:c r="A38" s="42" t="str">
        <x:v>E01</x:v>
      </x:c>
      <x:c r="B38" s="42" t="str">
        <x:v>전장</x:v>
      </x:c>
      <x:c r="C38" s="42" t="str">
        <x:v>BASE</x:v>
      </x:c>
      <x:c r="D38" s="42" t="str">
        <x:v>2채널 DC 모터드라이버</x:v>
      </x:c>
      <x:c r="E38" s="42" t="str">
        <x:v>Cytron MDD10A, 5~30 V, 10 A/channel</x:v>
      </x:c>
      <x:c r="F38" s="44" t="n">
        <x:v>2</x:v>
      </x:c>
      <x:c r="G38" s="42" t="str">
        <x:v>EA</x:v>
      </x:c>
      <x:c r="H38" s="42" t="str">
        <x:v>엘레파츠</x:v>
      </x:c>
      <x:c r="I38" s="42" t="str">
        <x:v>EPXHGAUW</x:v>
      </x:c>
      <x:c r="J38" s="46" t="n">
        <x:v>36200</x:v>
      </x:c>
      <x:c r="K38" s="46" t="n">
        <x:v>36200</x:v>
      </x:c>
      <x:c r="L38" s="42" t="str">
        <x:v>HOLD-CURRENT</x:v>
      </x:c>
      <x:c r="M38" s="42" t="str">
        <x:v>BLOCK</x:v>
      </x:c>
      <x:c r="N38" s="42" t="str">
        <x:v>24시간 표기</x:v>
      </x:c>
      <x:c r="O38" s="42" t="str">
        <x:v>2026-09-17</x:v>
      </x:c>
      <x:c r="P38" s="42" t="str">
        <x:v>https://eleparts.co.kr/goods/catalog?code=000900050001</x:v>
      </x:c>
      <x:c r="Q38" s="42" t="str">
        <x:v>4채널 중 3채널 사용</x:v>
      </x:c>
      <x:c r="R38" s="46" t="n">
        <x:f>IF(ISNUMBER(J38),F38*J38,"")</x:f>
        <x:v>72400</x:v>
      </x:c>
      <x:c r="S38" s="46" t="n">
        <x:f>F38*K38</x:f>
        <x:v>72400</x:v>
      </x:c>
    </x:row>
    <x:row r="39" ht="42" customHeight="1">
      <x:c r="A39" s="42" t="str">
        <x:v>E02</x:v>
      </x:c>
      <x:c r="B39" s="42" t="str">
        <x:v>전장</x:v>
      </x:c>
      <x:c r="C39" s="42" t="str">
        <x:v>BASE</x:v>
      </x:c>
      <x:c r="D39" s="42" t="str">
        <x:v>제어보드</x:v>
      </x:c>
      <x:c r="E39" s="42" t="str">
        <x:v>Arduino Mega2560 R3 정품</x:v>
      </x:c>
      <x:c r="F39" s="44" t="n">
        <x:v>1</x:v>
      </x:c>
      <x:c r="G39" s="42" t="str">
        <x:v>EA</x:v>
      </x:c>
      <x:c r="H39" s="42" t="str">
        <x:v>엘레파츠</x:v>
      </x:c>
      <x:c r="I39" s="42" t="str">
        <x:v>EPX67L3A</x:v>
      </x:c>
      <x:c r="J39" s="46" t="n">
        <x:v>70400</x:v>
      </x:c>
      <x:c r="K39" s="46" t="n">
        <x:v>70400</x:v>
      </x:c>
      <x:c r="L39" s="42" t="str">
        <x:v>후보확인</x:v>
      </x:c>
      <x:c r="M39" s="42" t="str">
        <x:v>REVIEW</x:v>
      </x:c>
      <x:c r="N39" s="42" t="str">
        <x:v>24시간 표기</x:v>
      </x:c>
      <x:c r="O39" s="42" t="str">
        <x:v>2026-09-17</x:v>
      </x:c>
      <x:c r="P39" s="42" t="str">
        <x:v>https://eleparts.co.kr/goods/catalog?code=0017003600020001</x:v>
      </x:c>
      <x:c r="Q39" s="42" t="str">
        <x:v>기존 펌웨어 핀맵 사용</x:v>
      </x:c>
      <x:c r="R39" s="46" t="n">
        <x:f>IF(ISNUMBER(J39),F39*J39,"")</x:f>
        <x:v>70400</x:v>
      </x:c>
      <x:c r="S39" s="46" t="n">
        <x:f>F39*K39</x:f>
        <x:v>70400</x:v>
      </x:c>
    </x:row>
    <x:row r="40" ht="42" customHeight="1">
      <x:c r="A40" s="42" t="str">
        <x:v>E03</x:v>
      </x:c>
      <x:c r="B40" s="42" t="str">
        <x:v>전장</x:v>
      </x:c>
      <x:c r="C40" s="42" t="str">
        <x:v>BASE</x:v>
      </x:c>
      <x:c r="D40" s="42" t="str">
        <x:v>상부 제어 6축 IMU</x:v>
      </x:c>
      <x:c r="E40" s="42" t="str">
        <x:v>GY-521, MPU6050, 3~5 V</x:v>
      </x:c>
      <x:c r="F40" s="44" t="n">
        <x:v>1</x:v>
      </x:c>
      <x:c r="G40" s="42" t="str">
        <x:v>EA</x:v>
      </x:c>
      <x:c r="H40" s="42" t="str">
        <x:v>엘레파츠</x:v>
      </x:c>
      <x:c r="I40" s="42" t="str">
        <x:v>EPXFBJ8K</x:v>
      </x:c>
      <x:c r="J40" s="46" t="n">
        <x:v>4900</x:v>
      </x:c>
      <x:c r="K40" s="46" t="n">
        <x:v>4900</x:v>
      </x:c>
      <x:c r="L40" s="42" t="str">
        <x:v>후보확인</x:v>
      </x:c>
      <x:c r="M40" s="42" t="str">
        <x:v>REVIEW</x:v>
      </x:c>
      <x:c r="N40" s="42" t="str">
        <x:v>24시간 표기</x:v>
      </x:c>
      <x:c r="O40" s="42" t="str">
        <x:v>2026-09-17</x:v>
      </x:c>
      <x:c r="P40" s="42" t="str">
        <x:v>https://eleparts.co.kr/goods/brand?brand_code=3728&amp;cate_code=00170036</x:v>
      </x:c>
      <x:c r="Q40" s="42" t="str">
        <x:v>상부 강체에 축표시 후 고정</x:v>
      </x:c>
      <x:c r="R40" s="46" t="n">
        <x:f>IF(ISNUMBER(J40),F40*J40,"")</x:f>
        <x:v>4900</x:v>
      </x:c>
      <x:c r="S40" s="46" t="n">
        <x:f>F40*K40</x:f>
        <x:v>4900</x:v>
      </x:c>
    </x:row>
    <x:row r="41" ht="42" customHeight="1">
      <x:c r="A41" s="42" t="str">
        <x:v>E03B</x:v>
      </x:c>
      <x:c r="B41" s="42" t="str">
        <x:v>전장</x:v>
      </x:c>
      <x:c r="C41" s="42" t="str">
        <x:v>BASE</x:v>
      </x:c>
      <x:c r="D41" s="42" t="str">
        <x:v>하부 외란 계측 6축 IMU</x:v>
      </x:c>
      <x:c r="E41" s="42" t="str">
        <x:v>GY-521, MPU6050, 3~5 V</x:v>
      </x:c>
      <x:c r="F41" s="44" t="n">
        <x:v>1</x:v>
      </x:c>
      <x:c r="G41" s="42" t="str">
        <x:v>EA</x:v>
      </x:c>
      <x:c r="H41" s="42" t="str">
        <x:v>엘레파츠</x:v>
      </x:c>
      <x:c r="I41" s="42" t="str">
        <x:v>EPXFBJ8K</x:v>
      </x:c>
      <x:c r="J41" s="46" t="n">
        <x:v>4900</x:v>
      </x:c>
      <x:c r="K41" s="46" t="n">
        <x:v>4900</x:v>
      </x:c>
      <x:c r="L41" s="42" t="str">
        <x:v>HOLD-LOGGING</x:v>
      </x:c>
      <x:c r="M41" s="42" t="str">
        <x:v>BLOCK</x:v>
      </x:c>
      <x:c r="N41" s="42" t="str">
        <x:v>24시간 표기</x:v>
      </x:c>
      <x:c r="O41" s="42" t="str">
        <x:v>2026-09-17</x:v>
      </x:c>
      <x:c r="P41" s="42" t="str">
        <x:v>https://eleparts.co.kr/goods/brand?brand_code=3728&amp;cate_code=00170036</x:v>
      </x:c>
      <x:c r="Q41" s="42" t="str">
        <x:v>합성 하부 각속도 20 Hz 이상 기록; I2C 주소 분리</x:v>
      </x:c>
      <x:c r="R41" s="46" t="n">
        <x:f>IF(ISNUMBER(J41),F41*J41,"")</x:f>
        <x:v>4900</x:v>
      </x:c>
      <x:c r="S41" s="46" t="n">
        <x:f>F41*K41</x:f>
        <x:v>4900</x:v>
      </x:c>
    </x:row>
    <x:row r="42" ht="42" customHeight="1">
      <x:c r="A42" s="42" t="str">
        <x:v>T01</x:v>
      </x:c>
      <x:c r="B42" s="42" t="str">
        <x:v>계측</x:v>
      </x:c>
      <x:c r="C42" s="42" t="str">
        <x:v>BASE</x:v>
      </x:c>
      <x:c r="D42" s="42" t="str">
        <x:v>독립 상부 기준 경사계/로거</x:v>
      </x:c>
      <x:c r="E42" s="42" t="str">
        <x:v>2축, 20 Hz 이상, ±5° 정확도 ±0.2° 이하, 분해능 0.05° 이하</x:v>
      </x:c>
      <x:c r="F42" s="44" t="n">
        <x:v>1</x:v>
      </x:c>
      <x:c r="G42" s="42" t="str">
        <x:v>EA</x:v>
      </x:c>
      <x:c r="H42" s="42" t="str">
        <x:v>엘레파츠 우선/대여</x:v>
      </x:c>
      <x:c r="I42" s="42" t="str">
        <x:v>선정 필요</x:v>
      </x:c>
      <x:c r="J42" s="46"/>
      <x:c r="K42" s="46" t="n">
        <x:v>150000</x:v>
      </x:c>
      <x:c r="L42" s="42" t="str">
        <x:v>HOLD-METROLOGY</x:v>
      </x:c>
      <x:c r="M42" s="42" t="str">
        <x:v>BLOCK</x:v>
      </x:c>
      <x:c r="N42" s="42" t="str">
        <x:v>확인 필요</x:v>
      </x:c>
      <x:c r="O42" s="42" t="str">
        <x:v>2026-09-17</x:v>
      </x:c>
      <x:c r="P42" s="42" t="str">
        <x:v>https://eleparts.co.kr/</x:v>
      </x:c>
      <x:c r="Q42" s="42" t="str">
        <x:v>TTL/동기 이벤트로 skew≤25 ms; 미확보 시 PROVISIONAL</x:v>
      </x:c>
      <x:c r="R42" s="46" t="str">
        <x:f>IF(ISNUMBER(J42),F42*J42,"")</x:f>
      </x:c>
      <x:c r="S42" s="46" t="n">
        <x:f>F42*K42</x:f>
        <x:v>150000</x:v>
      </x:c>
    </x:row>
    <x:row r="43" ht="42" customHeight="1">
      <x:c r="A43" s="42" t="str">
        <x:v>E04</x:v>
      </x:c>
      <x:c r="B43" s="42" t="str">
        <x:v>전장</x:v>
      </x:c>
      <x:c r="C43" s="42" t="str">
        <x:v>BASE</x:v>
      </x:c>
      <x:c r="D43" s="42" t="str">
        <x:v>24 V 주전원</x:v>
      </x:c>
      <x:c r="E43" s="42" t="str">
        <x:v>220 VAC 입력, 24 VDC, 14.6 A 이상</x:v>
      </x:c>
      <x:c r="F43" s="44" t="n">
        <x:v>1</x:v>
      </x:c>
      <x:c r="G43" s="42" t="str">
        <x:v>EA</x:v>
      </x:c>
      <x:c r="H43" s="42" t="str">
        <x:v>엘레파츠 우선</x:v>
      </x:c>
      <x:c r="I43" s="42" t="str">
        <x:v>ERP-350-24 대체 SKU</x:v>
      </x:c>
      <x:c r="J43" s="46"/>
      <x:c r="K43" s="46" t="n">
        <x:v>80000</x:v>
      </x:c>
      <x:c r="L43" s="42" t="str">
        <x:v>HOLD-STOCK</x:v>
      </x:c>
      <x:c r="M43" s="42" t="str">
        <x:v>BLOCK</x:v>
      </x:c>
      <x:c r="N43" s="42" t="str">
        <x:v>5~12영업일 후보</x:v>
      </x:c>
      <x:c r="O43" s="42" t="str">
        <x:v>2026-09-17</x:v>
      </x:c>
      <x:c r="P43" s="42" t="str">
        <x:v>https://eleparts.co.kr/goods/view?no=2558935</x:v>
      </x:c>
      <x:c r="Q43" s="42" t="str">
        <x:v>확인한 대표 SKU는 품절; 대체 SKU 또는 2차 구매처 필요</x:v>
      </x:c>
      <x:c r="R43" s="46" t="str">
        <x:f>IF(ISNUMBER(J43),F43*J43,"")</x:f>
      </x:c>
      <x:c r="S43" s="46" t="n">
        <x:f>F43*K43</x:f>
        <x:v>80000</x:v>
      </x:c>
    </x:row>
    <x:row r="44" ht="42" customHeight="1">
      <x:c r="A44" s="42" t="str">
        <x:v>E05</x:v>
      </x:c>
      <x:c r="B44" s="42" t="str">
        <x:v>전장</x:v>
      </x:c>
      <x:c r="C44" s="42" t="str">
        <x:v>BASE</x:v>
      </x:c>
      <x:c r="D44" s="42" t="str">
        <x:v>24 V→5 V DC-DC</x:v>
      </x:c>
      <x:c r="E44" s="42" t="str">
        <x:v>5 V, 5 A, 보호기능 포함</x:v>
      </x:c>
      <x:c r="F44" s="44" t="n">
        <x:v>1</x:v>
      </x:c>
      <x:c r="G44" s="42" t="str">
        <x:v>EA</x:v>
      </x:c>
      <x:c r="H44" s="42" t="str">
        <x:v>엘레파츠</x:v>
      </x:c>
      <x:c r="I44" s="42" t="str">
        <x:v>EPYLNK8M</x:v>
      </x:c>
      <x:c r="J44" s="46" t="n">
        <x:v>7800</x:v>
      </x:c>
      <x:c r="K44" s="46" t="n">
        <x:v>7800</x:v>
      </x:c>
      <x:c r="L44" s="42" t="str">
        <x:v>후보확인</x:v>
      </x:c>
      <x:c r="M44" s="42" t="str">
        <x:v>REVIEW</x:v>
      </x:c>
      <x:c r="N44" s="42" t="str">
        <x:v>약 10영업일</x:v>
      </x:c>
      <x:c r="O44" s="42" t="str">
        <x:v>2026-09-17</x:v>
      </x:c>
      <x:c r="P44" s="42" t="str">
        <x:v>https://www.eleparts.co.kr/goods/brand?brand_code=12319</x:v>
      </x:c>
      <x:c r="Q44" s="42" t="str">
        <x:v>제어·IMU·엔코더 전용</x:v>
      </x:c>
      <x:c r="R44" s="46" t="n">
        <x:f>IF(ISNUMBER(J44),F44*J44,"")</x:f>
        <x:v>7800</x:v>
      </x:c>
      <x:c r="S44" s="46" t="n">
        <x:f>F44*K44</x:f>
        <x:v>7800</x:v>
      </x:c>
    </x:row>
    <x:row r="45" ht="42" customHeight="1">
      <x:c r="A45" s="42" t="str">
        <x:v>E06</x:v>
      </x:c>
      <x:c r="B45" s="42" t="str">
        <x:v>전장</x:v>
      </x:c>
      <x:c r="C45" s="42" t="str">
        <x:v>BASE</x:v>
      </x:c>
      <x:c r="D45" s="42" t="str">
        <x:v>ABS 전장함</x:v>
      </x:c>
      <x:c r="E45" s="42" t="str">
        <x:v>PSU·드라이버·제어보드 수납</x:v>
      </x:c>
      <x:c r="F45" s="44" t="n">
        <x:v>1</x:v>
      </x:c>
      <x:c r="G45" s="42" t="str">
        <x:v>EA</x:v>
      </x:c>
      <x:c r="H45" s="42" t="str">
        <x:v>엘레파츠</x:v>
      </x:c>
      <x:c r="I45" s="42" t="str">
        <x:v>선정 필요</x:v>
      </x:c>
      <x:c r="J45" s="46"/>
      <x:c r="K45" s="46" t="n">
        <x:v>80000</x:v>
      </x:c>
      <x:c r="L45" s="42" t="str">
        <x:v>HOLD-LAYOUT</x:v>
      </x:c>
      <x:c r="M45" s="42" t="str">
        <x:v>BLOCK</x:v>
      </x:c>
      <x:c r="N45" s="42" t="str">
        <x:v>확인 필요</x:v>
      </x:c>
      <x:c r="O45" s="42" t="str">
        <x:v>2026-09-17</x:v>
      </x:c>
      <x:c r="P45" s="42" t="str">
        <x:v>https://eleparts.co.kr/</x:v>
      </x:c>
      <x:c r="Q45" s="42" t="str">
        <x:v>부품 실치수 후 선택</x:v>
      </x:c>
      <x:c r="R45" s="46" t="str">
        <x:f>IF(ISNUMBER(J45),F45*J45,"")</x:f>
      </x:c>
      <x:c r="S45" s="46" t="n">
        <x:f>F45*K45</x:f>
        <x:v>80000</x:v>
      </x:c>
    </x:row>
    <x:row r="46" ht="42" customHeight="1">
      <x:c r="A46" s="42" t="str">
        <x:v>E07</x:v>
      </x:c>
      <x:c r="B46" s="42" t="str">
        <x:v>전장</x:v>
      </x:c>
      <x:c r="C46" s="42" t="str">
        <x:v>BASE</x:v>
      </x:c>
      <x:c r="D46" s="42" t="str">
        <x:v>접지형 AC 전원코드</x:v>
      </x:c>
      <x:c r="E46" s="42" t="str">
        <x:v>220 VAC, 3C, 1.5 sq 이상</x:v>
      </x:c>
      <x:c r="F46" s="44" t="n">
        <x:v>1</x:v>
      </x:c>
      <x:c r="G46" s="42" t="str">
        <x:v>EA</x:v>
      </x:c>
      <x:c r="H46" s="42" t="str">
        <x:v>엘레파츠</x:v>
      </x:c>
      <x:c r="I46" s="42" t="str">
        <x:v>선정 필요</x:v>
      </x:c>
      <x:c r="J46" s="46"/>
      <x:c r="K46" s="46" t="n">
        <x:v>6000</x:v>
      </x:c>
      <x:c r="L46" s="42" t="str">
        <x:v>SKU선정</x:v>
      </x:c>
      <x:c r="M46" s="42" t="str">
        <x:v>BLOCK</x:v>
      </x:c>
      <x:c r="N46" s="42" t="str">
        <x:v>확인 필요</x:v>
      </x:c>
      <x:c r="O46" s="42" t="str">
        <x:v>2026-09-17</x:v>
      </x:c>
      <x:c r="P46" s="42" t="str">
        <x:v>https://eleparts.co.kr/</x:v>
      </x:c>
      <x:c r="Q46" s="42" t="str">
        <x:v>PE 직접결선</x:v>
      </x:c>
      <x:c r="R46" s="46" t="str">
        <x:f>IF(ISNUMBER(J46),F46*J46,"")</x:f>
      </x:c>
      <x:c r="S46" s="46" t="n">
        <x:f>F46*K46</x:f>
        <x:v>6000</x:v>
      </x:c>
    </x:row>
    <x:row r="47" ht="42" customHeight="1">
      <x:c r="A47" s="42" t="str">
        <x:v>E08</x:v>
      </x:c>
      <x:c r="B47" s="42" t="str">
        <x:v>전장</x:v>
      </x:c>
      <x:c r="C47" s="42" t="str">
        <x:v>BASE</x:v>
      </x:c>
      <x:c r="D47" s="42" t="str">
        <x:v>2극 배선용 차단기</x:v>
      </x:c>
      <x:c r="E47" s="42" t="str">
        <x:v>2P, 10 A 후보</x:v>
      </x:c>
      <x:c r="F47" s="44" t="n">
        <x:v>1</x:v>
      </x:c>
      <x:c r="G47" s="42" t="str">
        <x:v>EA</x:v>
      </x:c>
      <x:c r="H47" s="42" t="str">
        <x:v>엘레파츠</x:v>
      </x:c>
      <x:c r="I47" s="42" t="str">
        <x:v>선정 필요</x:v>
      </x:c>
      <x:c r="J47" s="46"/>
      <x:c r="K47" s="46" t="n">
        <x:v>30000</x:v>
      </x:c>
      <x:c r="L47" s="42" t="str">
        <x:v>HOLD-RATING</x:v>
      </x:c>
      <x:c r="M47" s="42" t="str">
        <x:v>BLOCK</x:v>
      </x:c>
      <x:c r="N47" s="42" t="str">
        <x:v>확인 필요</x:v>
      </x:c>
      <x:c r="O47" s="42" t="str">
        <x:v>2026-09-17</x:v>
      </x:c>
      <x:c r="P47" s="42" t="str">
        <x:v>https://eleparts.co.kr/</x:v>
      </x:c>
      <x:c r="Q47" s="42" t="str">
        <x:v>주전원 차단용</x:v>
      </x:c>
      <x:c r="R47" s="46" t="str">
        <x:f>IF(ISNUMBER(J47),F47*J47,"")</x:f>
      </x:c>
      <x:c r="S47" s="46" t="n">
        <x:f>F47*K47</x:f>
        <x:v>30000</x:v>
      </x:c>
    </x:row>
    <x:row r="48" ht="42" customHeight="1">
      <x:c r="A48" s="42" t="str">
        <x:v>E09</x:v>
      </x:c>
      <x:c r="B48" s="42" t="str">
        <x:v>전장</x:v>
      </x:c>
      <x:c r="C48" s="42" t="str">
        <x:v>BASE</x:v>
      </x:c>
      <x:c r="D48" s="42" t="str">
        <x:v>24 V 분기 퓨즈홀더</x:v>
      </x:c>
      <x:c r="E48" s="42" t="str">
        <x:v>ATO/ATC 또는 동등, 4분기</x:v>
      </x:c>
      <x:c r="F48" s="44" t="n">
        <x:v>4</x:v>
      </x:c>
      <x:c r="G48" s="42" t="str">
        <x:v>EA</x:v>
      </x:c>
      <x:c r="H48" s="42" t="str">
        <x:v>엘레파츠</x:v>
      </x:c>
      <x:c r="I48" s="42" t="str">
        <x:v>선정 필요</x:v>
      </x:c>
      <x:c r="J48" s="46"/>
      <x:c r="K48" s="46" t="n">
        <x:v>3000</x:v>
      </x:c>
      <x:c r="L48" s="42" t="str">
        <x:v>HOLD-CURRENT</x:v>
      </x:c>
      <x:c r="M48" s="42" t="str">
        <x:v>BLOCK</x:v>
      </x:c>
      <x:c r="N48" s="42" t="str">
        <x:v>확인 필요</x:v>
      </x:c>
      <x:c r="O48" s="42" t="str">
        <x:v>2026-09-17</x:v>
      </x:c>
      <x:c r="P48" s="42" t="str">
        <x:v>https://eleparts.co.kr/</x:v>
      </x:c>
      <x:c r="Q48" s="42" t="str">
        <x:v>3축 모터+5 V 분기</x:v>
      </x:c>
      <x:c r="R48" s="46" t="str">
        <x:f>IF(ISNUMBER(J48),F48*J48,"")</x:f>
      </x:c>
      <x:c r="S48" s="46" t="n">
        <x:f>F48*K48</x:f>
        <x:v>12000</x:v>
      </x:c>
    </x:row>
    <x:row r="49" ht="42" customHeight="1">
      <x:c r="A49" s="42" t="str">
        <x:v>E10</x:v>
      </x:c>
      <x:c r="B49" s="42" t="str">
        <x:v>전장</x:v>
      </x:c>
      <x:c r="C49" s="42" t="str">
        <x:v>BASE</x:v>
      </x:c>
      <x:c r="D49" s="42" t="str">
        <x:v>분기 퓨즈 세트</x:v>
      </x:c>
      <x:c r="E49" s="42" t="str">
        <x:v>축별 전류확인 후 정격 확정</x:v>
      </x:c>
      <x:c r="F49" s="44" t="n">
        <x:v>1</x:v>
      </x:c>
      <x:c r="G49" s="42" t="str">
        <x:v>SET</x:v>
      </x:c>
      <x:c r="H49" s="42" t="str">
        <x:v>엘레파츠</x:v>
      </x:c>
      <x:c r="I49" s="42" t="str">
        <x:v>선정 필요</x:v>
      </x:c>
      <x:c r="J49" s="46"/>
      <x:c r="K49" s="46" t="n">
        <x:v>15000</x:v>
      </x:c>
      <x:c r="L49" s="42" t="str">
        <x:v>HOLD-CURRENT</x:v>
      </x:c>
      <x:c r="M49" s="42" t="str">
        <x:v>BLOCK</x:v>
      </x:c>
      <x:c r="N49" s="42" t="str">
        <x:v>확인 필요</x:v>
      </x:c>
      <x:c r="O49" s="42" t="str">
        <x:v>2026-09-17</x:v>
      </x:c>
      <x:c r="P49" s="42" t="str">
        <x:v>https://eleparts.co.kr/</x:v>
      </x:c>
      <x:c r="Q49" s="42" t="str">
        <x:v>임의 증용량 금지</x:v>
      </x:c>
      <x:c r="R49" s="46" t="str">
        <x:f>IF(ISNUMBER(J49),F49*J49,"")</x:f>
      </x:c>
      <x:c r="S49" s="46" t="n">
        <x:f>F49*K49</x:f>
        <x:v>15000</x:v>
      </x:c>
    </x:row>
    <x:row r="50" ht="42" customHeight="1">
      <x:c r="A50" s="42" t="str">
        <x:v>E11</x:v>
      </x:c>
      <x:c r="B50" s="42" t="str">
        <x:v>전장</x:v>
      </x:c>
      <x:c r="C50" s="42" t="str">
        <x:v>BASE</x:v>
      </x:c>
      <x:c r="D50" s="42" t="str">
        <x:v>스크루 단자대</x:v>
      </x:c>
      <x:c r="E50" s="42" t="str">
        <x:v>AC/24 V/5 V 분리</x:v>
      </x:c>
      <x:c r="F50" s="44" t="n">
        <x:v>2</x:v>
      </x:c>
      <x:c r="G50" s="42" t="str">
        <x:v>EA</x:v>
      </x:c>
      <x:c r="H50" s="42" t="str">
        <x:v>엘레파츠</x:v>
      </x:c>
      <x:c r="I50" s="42" t="str">
        <x:v>선정 필요</x:v>
      </x:c>
      <x:c r="J50" s="46"/>
      <x:c r="K50" s="46" t="n">
        <x:v>5000</x:v>
      </x:c>
      <x:c r="L50" s="42" t="str">
        <x:v>SKU선정</x:v>
      </x:c>
      <x:c r="M50" s="42" t="str">
        <x:v>BLOCK</x:v>
      </x:c>
      <x:c r="N50" s="42" t="str">
        <x:v>확인 필요</x:v>
      </x:c>
      <x:c r="O50" s="42" t="str">
        <x:v>2026-09-17</x:v>
      </x:c>
      <x:c r="P50" s="42" t="str">
        <x:v>https://eleparts.co.kr/</x:v>
      </x:c>
      <x:c r="Q50" s="42" t="str">
        <x:v>커버 포함 여부 확인</x:v>
      </x:c>
      <x:c r="R50" s="46" t="str">
        <x:f>IF(ISNUMBER(J50),F50*J50,"")</x:f>
      </x:c>
      <x:c r="S50" s="46" t="n">
        <x:f>F50*K50</x:f>
        <x:v>10000</x:v>
      </x:c>
    </x:row>
    <x:row r="51" ht="42" customHeight="1">
      <x:c r="A51" s="42" t="str">
        <x:v>E12</x:v>
      </x:c>
      <x:c r="B51" s="42" t="str">
        <x:v>전장</x:v>
      </x:c>
      <x:c r="C51" s="42" t="str">
        <x:v>BASE</x:v>
      </x:c>
      <x:c r="D51" s="42" t="str">
        <x:v>모터전원 차단 릴레이/컨택터</x:v>
      </x:c>
      <x:c r="E51" s="42" t="str">
        <x:v>24 VDC coil, 24 VDC 유도성 차단정격 확인</x:v>
      </x:c>
      <x:c r="F51" s="44" t="n">
        <x:v>1</x:v>
      </x:c>
      <x:c r="G51" s="42" t="str">
        <x:v>EA</x:v>
      </x:c>
      <x:c r="H51" s="42" t="str">
        <x:v>엘레파츠</x:v>
      </x:c>
      <x:c r="I51" s="42" t="str">
        <x:v>선정 필요</x:v>
      </x:c>
      <x:c r="J51" s="46"/>
      <x:c r="K51" s="46" t="n">
        <x:v>120000</x:v>
      </x:c>
      <x:c r="L51" s="42" t="str">
        <x:v>HOLD-DC-RATING</x:v>
      </x:c>
      <x:c r="M51" s="42" t="str">
        <x:v>BLOCK</x:v>
      </x:c>
      <x:c r="N51" s="42" t="str">
        <x:v>약 11영업일 후보</x:v>
      </x:c>
      <x:c r="O51" s="42" t="str">
        <x:v>2026-09-17</x:v>
      </x:c>
      <x:c r="P51" s="42" t="str">
        <x:v>https://eleparts.co.kr/goods/view?no=3397412</x:v>
      </x:c>
      <x:c r="Q51" s="42" t="str">
        <x:v>정격 ≥1.25×세 축 스톨전류 합; 20 A 표기는 임시 후보</x:v>
      </x:c>
      <x:c r="R51" s="46" t="str">
        <x:f>IF(ISNUMBER(J51),F51*J51,"")</x:f>
      </x:c>
      <x:c r="S51" s="46" t="n">
        <x:f>F51*K51</x:f>
        <x:v>120000</x:v>
      </x:c>
    </x:row>
    <x:row r="52" ht="42" customHeight="1">
      <x:c r="A52" s="42" t="str">
        <x:v>E13</x:v>
      </x:c>
      <x:c r="B52" s="42" t="str">
        <x:v>전장</x:v>
      </x:c>
      <x:c r="C52" s="42" t="str">
        <x:v>BASE</x:v>
      </x:c>
      <x:c r="D52" s="42" t="str">
        <x:v>비상정지 스위치</x:v>
      </x:c>
      <x:c r="E52" s="42" t="str">
        <x:v>트위스트 복귀, 2NC</x:v>
      </x:c>
      <x:c r="F52" s="44" t="n">
        <x:v>1</x:v>
      </x:c>
      <x:c r="G52" s="42" t="str">
        <x:v>EA</x:v>
      </x:c>
      <x:c r="H52" s="42" t="str">
        <x:v>엘레파츠</x:v>
      </x:c>
      <x:c r="I52" s="42" t="str">
        <x:v>선정 필요</x:v>
      </x:c>
      <x:c r="J52" s="46"/>
      <x:c r="K52" s="46" t="n">
        <x:v>90000</x:v>
      </x:c>
      <x:c r="L52" s="42" t="str">
        <x:v>HOLD-COMPATIBILITY</x:v>
      </x:c>
      <x:c r="M52" s="42" t="str">
        <x:v>BLOCK</x:v>
      </x:c>
      <x:c r="N52" s="42" t="str">
        <x:v>4~7영업일 후보</x:v>
      </x:c>
      <x:c r="O52" s="42" t="str">
        <x:v>2026-09-17</x:v>
      </x:c>
      <x:c r="P52" s="42" t="str">
        <x:v>https://eleparts.co.kr/goods/view?no=9221707</x:v>
      </x:c>
      <x:c r="Q52" s="42" t="str">
        <x:v>한 접점은 컨택터, 한 접점은 제어상태</x:v>
      </x:c>
      <x:c r="R52" s="46" t="str">
        <x:f>IF(ISNUMBER(J52),F52*J52,"")</x:f>
      </x:c>
      <x:c r="S52" s="46" t="n">
        <x:f>F52*K52</x:f>
        <x:v>90000</x:v>
      </x:c>
    </x:row>
    <x:row r="53" ht="42" customHeight="1">
      <x:c r="A53" s="42" t="str">
        <x:v>E14</x:v>
      </x:c>
      <x:c r="B53" s="42" t="str">
        <x:v>전장</x:v>
      </x:c>
      <x:c r="C53" s="42" t="str">
        <x:v>BASE</x:v>
      </x:c>
      <x:c r="D53" s="42" t="str">
        <x:v>컨택터 코일 서지억제</x:v>
      </x:c>
      <x:c r="E53" s="42" t="str">
        <x:v>24 VDC 코일 호환</x:v>
      </x:c>
      <x:c r="F53" s="44" t="n">
        <x:v>1</x:v>
      </x:c>
      <x:c r="G53" s="42" t="str">
        <x:v>EA</x:v>
      </x:c>
      <x:c r="H53" s="42" t="str">
        <x:v>엘레파츠</x:v>
      </x:c>
      <x:c r="I53" s="42" t="str">
        <x:v>선정 필요</x:v>
      </x:c>
      <x:c r="J53" s="46"/>
      <x:c r="K53" s="46" t="n">
        <x:v>10000</x:v>
      </x:c>
      <x:c r="L53" s="42" t="str">
        <x:v>HOLD-CONTACTOR</x:v>
      </x:c>
      <x:c r="M53" s="42" t="str">
        <x:v>BLOCK</x:v>
      </x:c>
      <x:c r="N53" s="42" t="str">
        <x:v>확인 필요</x:v>
      </x:c>
      <x:c r="O53" s="42" t="str">
        <x:v>2026-09-17</x:v>
      </x:c>
      <x:c r="P53" s="42" t="str">
        <x:v>https://eleparts.co.kr/</x:v>
      </x:c>
      <x:c r="Q53" s="42" t="str">
        <x:v>다이오드 방향 표시</x:v>
      </x:c>
      <x:c r="R53" s="46" t="str">
        <x:f>IF(ISNUMBER(J53),F53*J53,"")</x:f>
      </x:c>
      <x:c r="S53" s="46" t="n">
        <x:f>F53*K53</x:f>
        <x:v>10000</x:v>
      </x:c>
    </x:row>
    <x:row r="54" ht="42" customHeight="1">
      <x:c r="A54" s="42" t="str">
        <x:v>E15</x:v>
      </x:c>
      <x:c r="B54" s="42" t="str">
        <x:v>배선</x:v>
      </x:c>
      <x:c r="C54" s="42" t="str">
        <x:v>BASE</x:v>
      </x:c>
      <x:c r="D54" s="42" t="str">
        <x:v>모터 전력선</x:v>
      </x:c>
      <x:c r="E54" s="42" t="str">
        <x:v>14 AWG 또는 2.0 sq급, 적/흑</x:v>
      </x:c>
      <x:c r="F54" s="44" t="n">
        <x:v>1</x:v>
      </x:c>
      <x:c r="G54" s="42" t="str">
        <x:v>SET</x:v>
      </x:c>
      <x:c r="H54" s="42" t="str">
        <x:v>엘레파츠</x:v>
      </x:c>
      <x:c r="I54" s="42" t="str">
        <x:v>선정 필요</x:v>
      </x:c>
      <x:c r="J54" s="46"/>
      <x:c r="K54" s="46" t="n">
        <x:v>90000</x:v>
      </x:c>
      <x:c r="L54" s="42" t="str">
        <x:v>HOLD-LENGTH</x:v>
      </x:c>
      <x:c r="M54" s="42" t="str">
        <x:v>BLOCK</x:v>
      </x:c>
      <x:c r="N54" s="42" t="str">
        <x:v>확인 필요</x:v>
      </x:c>
      <x:c r="O54" s="42" t="str">
        <x:v>2026-09-17</x:v>
      </x:c>
      <x:c r="P54" s="42" t="str">
        <x:v>https://eleparts.co.kr/</x:v>
      </x:c>
      <x:c r="Q54" s="42" t="str">
        <x:v>세 축 케이블 길이 산정</x:v>
      </x:c>
      <x:c r="R54" s="46" t="str">
        <x:f>IF(ISNUMBER(J54),F54*J54,"")</x:f>
      </x:c>
      <x:c r="S54" s="46" t="n">
        <x:f>F54*K54</x:f>
        <x:v>90000</x:v>
      </x:c>
    </x:row>
    <x:row r="55" ht="42" customHeight="1">
      <x:c r="A55" s="42" t="str">
        <x:v>E16</x:v>
      </x:c>
      <x:c r="B55" s="42" t="str">
        <x:v>배선</x:v>
      </x:c>
      <x:c r="C55" s="42" t="str">
        <x:v>BASE</x:v>
      </x:c>
      <x:c r="D55" s="42" t="str">
        <x:v>제어·엔코더 전선</x:v>
      </x:c>
      <x:c r="E55" s="42" t="str">
        <x:v>24 AWG, 6색 이상</x:v>
      </x:c>
      <x:c r="F55" s="44" t="n">
        <x:v>1</x:v>
      </x:c>
      <x:c r="G55" s="42" t="str">
        <x:v>SET</x:v>
      </x:c>
      <x:c r="H55" s="42" t="str">
        <x:v>엘레파츠</x:v>
      </x:c>
      <x:c r="I55" s="42" t="str">
        <x:v>선정 필요</x:v>
      </x:c>
      <x:c r="J55" s="46"/>
      <x:c r="K55" s="46" t="n">
        <x:v>40000</x:v>
      </x:c>
      <x:c r="L55" s="42" t="str">
        <x:v>HOLD-LENGTH</x:v>
      </x:c>
      <x:c r="M55" s="42" t="str">
        <x:v>BLOCK</x:v>
      </x:c>
      <x:c r="N55" s="42" t="str">
        <x:v>확인 필요</x:v>
      </x:c>
      <x:c r="O55" s="42" t="str">
        <x:v>2026-09-17</x:v>
      </x:c>
      <x:c r="P55" s="42" t="str">
        <x:v>https://eleparts.co.kr/</x:v>
      </x:c>
      <x:c r="Q55" s="42" t="str">
        <x:v>모터선과 분리</x:v>
      </x:c>
      <x:c r="R55" s="46" t="str">
        <x:f>IF(ISNUMBER(J55),F55*J55,"")</x:f>
      </x:c>
      <x:c r="S55" s="46" t="n">
        <x:f>F55*K55</x:f>
        <x:v>40000</x:v>
      </x:c>
    </x:row>
    <x:row r="56" ht="42" customHeight="1">
      <x:c r="A56" s="42" t="str">
        <x:v>E17</x:v>
      </x:c>
      <x:c r="B56" s="42" t="str">
        <x:v>배선</x:v>
      </x:c>
      <x:c r="C56" s="42" t="str">
        <x:v>BASE</x:v>
      </x:c>
      <x:c r="D56" s="42" t="str">
        <x:v>페룰·압착단자 키트</x:v>
      </x:c>
      <x:c r="E56" s="42" t="str">
        <x:v>0.5~2.5 sq</x:v>
      </x:c>
      <x:c r="F56" s="44" t="n">
        <x:v>1</x:v>
      </x:c>
      <x:c r="G56" s="42" t="str">
        <x:v>SET</x:v>
      </x:c>
      <x:c r="H56" s="42" t="str">
        <x:v>엘레파츠</x:v>
      </x:c>
      <x:c r="I56" s="42" t="str">
        <x:v>선정 필요</x:v>
      </x:c>
      <x:c r="J56" s="46"/>
      <x:c r="K56" s="46" t="n">
        <x:v>60000</x:v>
      </x:c>
      <x:c r="L56" s="42" t="str">
        <x:v>SKU선정</x:v>
      </x:c>
      <x:c r="M56" s="42" t="str">
        <x:v>BLOCK</x:v>
      </x:c>
      <x:c r="N56" s="42" t="str">
        <x:v>확인 필요</x:v>
      </x:c>
      <x:c r="O56" s="42" t="str">
        <x:v>2026-09-17</x:v>
      </x:c>
      <x:c r="P56" s="42" t="str">
        <x:v>https://eleparts.co.kr/</x:v>
      </x:c>
      <x:c r="Q56" s="42" t="str">
        <x:v>압착공구는 별도 확보</x:v>
      </x:c>
      <x:c r="R56" s="46" t="str">
        <x:f>IF(ISNUMBER(J56),F56*J56,"")</x:f>
      </x:c>
      <x:c r="S56" s="46" t="n">
        <x:f>F56*K56</x:f>
        <x:v>60000</x:v>
      </x:c>
    </x:row>
    <x:row r="57" ht="42" customHeight="1">
      <x:c r="A57" s="42" t="str">
        <x:v>E18</x:v>
      </x:c>
      <x:c r="B57" s="42" t="str">
        <x:v>배선</x:v>
      </x:c>
      <x:c r="C57" s="42" t="str">
        <x:v>BASE</x:v>
      </x:c>
      <x:c r="D57" s="42" t="str">
        <x:v>케이블 글랜드·스트레인릴리프</x:v>
      </x:c>
      <x:c r="E57" s="42" t="str">
        <x:v>AC 1, 액추에이터/신호 각 3 이상</x:v>
      </x:c>
      <x:c r="F57" s="44" t="n">
        <x:v>1</x:v>
      </x:c>
      <x:c r="G57" s="42" t="str">
        <x:v>SET</x:v>
      </x:c>
      <x:c r="H57" s="42" t="str">
        <x:v>엘레파츠</x:v>
      </x:c>
      <x:c r="I57" s="42" t="str">
        <x:v>선정 필요</x:v>
      </x:c>
      <x:c r="J57" s="46"/>
      <x:c r="K57" s="46" t="n">
        <x:v>30000</x:v>
      </x:c>
      <x:c r="L57" s="42" t="str">
        <x:v>HOLD-CABLE-OD</x:v>
      </x:c>
      <x:c r="M57" s="42" t="str">
        <x:v>BLOCK</x:v>
      </x:c>
      <x:c r="N57" s="42" t="str">
        <x:v>확인 필요</x:v>
      </x:c>
      <x:c r="O57" s="42" t="str">
        <x:v>2026-09-17</x:v>
      </x:c>
      <x:c r="P57" s="42" t="str">
        <x:v>https://eleparts.co.kr/</x:v>
      </x:c>
      <x:c r="Q57" s="42" t="str">
        <x:v>케이블 외경 후 선정</x:v>
      </x:c>
      <x:c r="R57" s="46" t="str">
        <x:f>IF(ISNUMBER(J57),F57*J57,"")</x:f>
      </x:c>
      <x:c r="S57" s="46" t="n">
        <x:f>F57*K57</x:f>
        <x:v>30000</x:v>
      </x:c>
    </x:row>
    <x:row r="58" ht="42" customHeight="1">
      <x:c r="A58" s="42" t="str">
        <x:v>E19</x:v>
      </x:c>
      <x:c r="B58" s="42" t="str">
        <x:v>전장</x:v>
      </x:c>
      <x:c r="C58" s="42" t="str">
        <x:v>BASE</x:v>
      </x:c>
      <x:c r="D58" s="42" t="str">
        <x:v>35 mm DIN 레일</x:v>
      </x:c>
      <x:c r="E58" s="42" t="str">
        <x:v>전장함 배치 길이</x:v>
      </x:c>
      <x:c r="F58" s="44" t="n">
        <x:v>1</x:v>
      </x:c>
      <x:c r="G58" s="42" t="str">
        <x:v>EA</x:v>
      </x:c>
      <x:c r="H58" s="42" t="str">
        <x:v>엘레파츠</x:v>
      </x:c>
      <x:c r="I58" s="42" t="str">
        <x:v>선정 필요</x:v>
      </x:c>
      <x:c r="J58" s="46"/>
      <x:c r="K58" s="46" t="n">
        <x:v>20000</x:v>
      </x:c>
      <x:c r="L58" s="42" t="str">
        <x:v>HOLD-LAYOUT</x:v>
      </x:c>
      <x:c r="M58" s="42" t="str">
        <x:v>BLOCK</x:v>
      </x:c>
      <x:c r="N58" s="42" t="str">
        <x:v>확인 필요</x:v>
      </x:c>
      <x:c r="O58" s="42" t="str">
        <x:v>2026-09-17</x:v>
      </x:c>
      <x:c r="P58" s="42" t="str">
        <x:v>https://eleparts.co.kr/</x:v>
      </x:c>
      <x:c r="Q58" s="42" t="str">
        <x:v>절단·디버링 필요</x:v>
      </x:c>
      <x:c r="R58" s="46" t="str">
        <x:f>IF(ISNUMBER(J58),F58*J58,"")</x:f>
      </x:c>
      <x:c r="S58" s="46" t="n">
        <x:f>F58*K58</x:f>
        <x:v>20000</x:v>
      </x:c>
    </x:row>
    <x:row r="59" ht="42" customHeight="1">
      <x:c r="A59" s="42" t="str">
        <x:v>E20</x:v>
      </x:c>
      <x:c r="B59" s="42" t="str">
        <x:v>전장</x:v>
      </x:c>
      <x:c r="C59" s="42" t="str">
        <x:v>BASE</x:v>
      </x:c>
      <x:c r="D59" s="42" t="str">
        <x:v>보호접지선</x:v>
      </x:c>
      <x:c r="E59" s="42" t="str">
        <x:v>녹/황 2.5 sq</x:v>
      </x:c>
      <x:c r="F59" s="44" t="n">
        <x:v>3</x:v>
      </x:c>
      <x:c r="G59" s="42" t="str">
        <x:v>M</x:v>
      </x:c>
      <x:c r="H59" s="42" t="str">
        <x:v>엘레파츠</x:v>
      </x:c>
      <x:c r="I59" s="42" t="str">
        <x:v>선정 필요</x:v>
      </x:c>
      <x:c r="J59" s="46"/>
      <x:c r="K59" s="46" t="n">
        <x:v>8000</x:v>
      </x:c>
      <x:c r="L59" s="42" t="str">
        <x:v>SKU선정</x:v>
      </x:c>
      <x:c r="M59" s="42" t="str">
        <x:v>BLOCK</x:v>
      </x:c>
      <x:c r="N59" s="42" t="str">
        <x:v>확인 필요</x:v>
      </x:c>
      <x:c r="O59" s="42" t="str">
        <x:v>2026-09-17</x:v>
      </x:c>
      <x:c r="P59" s="42" t="str">
        <x:v>https://eleparts.co.kr/</x:v>
      </x:c>
      <x:c r="Q59" s="42" t="str">
        <x:v>색상 대체 금지</x:v>
      </x:c>
      <x:c r="R59" s="46" t="str">
        <x:f>IF(ISNUMBER(J59),F59*J59,"")</x:f>
      </x:c>
      <x:c r="S59" s="46" t="n">
        <x:f>F59*K59</x:f>
        <x:v>24000</x:v>
      </x:c>
    </x:row>
    <x:row r="60" ht="42" customHeight="1">
      <x:c r="A60" s="42" t="str">
        <x:v>E21</x:v>
      </x:c>
      <x:c r="B60" s="42" t="str">
        <x:v>전장</x:v>
      </x:c>
      <x:c r="C60" s="42" t="str">
        <x:v>BASE</x:v>
      </x:c>
      <x:c r="D60" s="42" t="str">
        <x:v>USB 데이터 케이블</x:v>
      </x:c>
      <x:c r="E60" s="42" t="str">
        <x:v>Mega2560 커넥터 호환</x:v>
      </x:c>
      <x:c r="F60" s="44" t="n">
        <x:v>1</x:v>
      </x:c>
      <x:c r="G60" s="42" t="str">
        <x:v>EA</x:v>
      </x:c>
      <x:c r="H60" s="42" t="str">
        <x:v>엘레파츠</x:v>
      </x:c>
      <x:c r="I60" s="42" t="str">
        <x:v>선정 필요</x:v>
      </x:c>
      <x:c r="J60" s="46"/>
      <x:c r="K60" s="46" t="n">
        <x:v>8000</x:v>
      </x:c>
      <x:c r="L60" s="42" t="str">
        <x:v>SKU선정</x:v>
      </x:c>
      <x:c r="M60" s="42" t="str">
        <x:v>BLOCK</x:v>
      </x:c>
      <x:c r="N60" s="42" t="str">
        <x:v>확인 필요</x:v>
      </x:c>
      <x:c r="O60" s="42" t="str">
        <x:v>2026-09-17</x:v>
      </x:c>
      <x:c r="P60" s="42" t="str">
        <x:v>https://eleparts.co.kr/</x:v>
      </x:c>
      <x:c r="Q60" s="42" t="str">
        <x:v>노트북 제어</x:v>
      </x:c>
      <x:c r="R60" s="46" t="str">
        <x:f>IF(ISNUMBER(J60),F60*J60,"")</x:f>
      </x:c>
      <x:c r="S60" s="46" t="n">
        <x:f>F60*K60</x:f>
        <x:v>8000</x:v>
      </x:c>
    </x:row>
    <x:row r="61" ht="42" customHeight="1">
      <x:c r="A61" s="42" t="str">
        <x:v>E22</x:v>
      </x:c>
      <x:c r="B61" s="42" t="str">
        <x:v>배선</x:v>
      </x:c>
      <x:c r="C61" s="42" t="str">
        <x:v>BASE</x:v>
      </x:c>
      <x:c r="D61" s="42" t="str">
        <x:v>열수축·케이블타이·라벨</x:v>
      </x:c>
      <x:c r="E61" s="42" t="str">
        <x:v>배선 마감 및 식별</x:v>
      </x:c>
      <x:c r="F61" s="44" t="n">
        <x:v>1</x:v>
      </x:c>
      <x:c r="G61" s="42" t="str">
        <x:v>SET</x:v>
      </x:c>
      <x:c r="H61" s="42" t="str">
        <x:v>엘레파츠</x:v>
      </x:c>
      <x:c r="I61" s="42" t="str">
        <x:v>선정 필요</x:v>
      </x:c>
      <x:c r="J61" s="46"/>
      <x:c r="K61" s="46" t="n">
        <x:v>40000</x:v>
      </x:c>
      <x:c r="L61" s="42" t="str">
        <x:v>SKU선정</x:v>
      </x:c>
      <x:c r="M61" s="42" t="str">
        <x:v>BLOCK</x:v>
      </x:c>
      <x:c r="N61" s="42" t="str">
        <x:v>확인 필요</x:v>
      </x:c>
      <x:c r="O61" s="42" t="str">
        <x:v>2026-09-17</x:v>
      </x:c>
      <x:c r="P61" s="42" t="str">
        <x:v>https://eleparts.co.kr/</x:v>
      </x:c>
      <x:c r="Q61" s="42" t="str">
        <x:v>이동선 여유루프 유지</x:v>
      </x:c>
      <x:c r="R61" s="46" t="str">
        <x:f>IF(ISNUMBER(J61),F61*J61,"")</x:f>
      </x:c>
      <x:c r="S61" s="46" t="n">
        <x:f>F61*K61</x:f>
        <x:v>40000</x:v>
      </x:c>
    </x:row>
    <x:row r="62" ht="42" customHeight="1">
      <x:c r="A62" s="42" t="str">
        <x:v>E23</x:v>
      </x:c>
      <x:c r="B62" s="42" t="str">
        <x:v>전장</x:v>
      </x:c>
      <x:c r="C62" s="42" t="str">
        <x:v>BASE</x:v>
      </x:c>
      <x:c r="D62" s="42" t="str">
        <x:v>전장함 장착 하드웨어</x:v>
      </x:c>
      <x:c r="E62" s="42" t="str">
        <x:v>M3/M4 서포트·볼트·너트</x:v>
      </x:c>
      <x:c r="F62" s="44" t="n">
        <x:v>1</x:v>
      </x:c>
      <x:c r="G62" s="42" t="str">
        <x:v>SET</x:v>
      </x:c>
      <x:c r="H62" s="42" t="str">
        <x:v>엘레파츠</x:v>
      </x:c>
      <x:c r="I62" s="42" t="str">
        <x:v>선정 필요</x:v>
      </x:c>
      <x:c r="J62" s="46"/>
      <x:c r="K62" s="46" t="n">
        <x:v>20000</x:v>
      </x:c>
      <x:c r="L62" s="42" t="str">
        <x:v>HOLD-LAYOUT</x:v>
      </x:c>
      <x:c r="M62" s="42" t="str">
        <x:v>BLOCK</x:v>
      </x:c>
      <x:c r="N62" s="42" t="str">
        <x:v>확인 필요</x:v>
      </x:c>
      <x:c r="O62" s="42" t="str">
        <x:v>2026-09-17</x:v>
      </x:c>
      <x:c r="P62" s="42" t="str">
        <x:v>https://eleparts.co.kr/</x:v>
      </x:c>
      <x:c r="Q62" s="42" t="str">
        <x:v>실장홀 확인 후 수량 확정</x:v>
      </x:c>
      <x:c r="R62" s="46" t="str">
        <x:f>IF(ISNUMBER(J62),F62*J62,"")</x:f>
      </x:c>
      <x:c r="S62" s="46" t="n">
        <x:f>F62*K62</x:f>
        <x:v>20000</x:v>
      </x:c>
    </x:row>
    <x:row r="63" ht="42" customHeight="1">
      <x:c r="A63" s="42" t="str">
        <x:v>E24</x:v>
      </x:c>
      <x:c r="B63" s="42" t="str">
        <x:v>전장</x:v>
      </x:c>
      <x:c r="C63" s="42" t="str">
        <x:v>BASE</x:v>
      </x:c>
      <x:c r="D63" s="42" t="str">
        <x:v>축별 모터 전류센서</x:v>
      </x:c>
      <x:c r="E63" s="42" t="str">
        <x:v>양방향 Hall, 예상 스톨전류 이상, 3축 독립</x:v>
      </x:c>
      <x:c r="F63" s="44" t="n">
        <x:v>3</x:v>
      </x:c>
      <x:c r="G63" s="42" t="str">
        <x:v>EA</x:v>
      </x:c>
      <x:c r="H63" s="42" t="str">
        <x:v>엘레파츠</x:v>
      </x:c>
      <x:c r="I63" s="42" t="str">
        <x:v>선정 필요</x:v>
      </x:c>
      <x:c r="J63" s="46"/>
      <x:c r="K63" s="46" t="n">
        <x:v>20000</x:v>
      </x:c>
      <x:c r="L63" s="42" t="str">
        <x:v>HOLD-CURRENT-SENSE</x:v>
      </x:c>
      <x:c r="M63" s="42" t="str">
        <x:v>BLOCK</x:v>
      </x:c>
      <x:c r="N63" s="42" t="str">
        <x:v>확인 필요</x:v>
      </x:c>
      <x:c r="O63" s="42" t="str">
        <x:v>2026-09-17</x:v>
      </x:c>
      <x:c r="P63" s="42" t="str">
        <x:v>https://eleparts.co.kr/</x:v>
      </x:c>
      <x:c r="Q63" s="42" t="str">
        <x:v>내장 리미트 개방과 기계 걸림 구분; 상태출력 제공 시 재검토</x:v>
      </x:c>
      <x:c r="R63" s="46" t="str">
        <x:f>IF(ISNUMBER(J63),F63*J63,"")</x:f>
      </x:c>
      <x:c r="S63" s="46" t="n">
        <x:f>F63*K63</x:f>
        <x:v>60000</x:v>
      </x:c>
    </x:row>
    <x:row r="64" ht="42" customHeight="1">
      <x:c r="A64" s="43" t="str">
        <x:v>P01</x:v>
      </x:c>
      <x:c r="B64" s="43" t="str">
        <x:v>기타</x:v>
      </x:c>
      <x:c r="C64" s="43" t="str">
        <x:v>BASE</x:v>
      </x:c>
      <x:c r="D64" s="43" t="str">
        <x:v>배송·분할배송 예비비</x:v>
      </x:c>
      <x:c r="E64" s="43" t="str">
        <x:v>주문수입 및 가공품 배송</x:v>
      </x:c>
      <x:c r="F64" s="45" t="n">
        <x:v>1</x:v>
      </x:c>
      <x:c r="G64" s="43" t="str">
        <x:v>LOT</x:v>
      </x:c>
      <x:c r="H64" s="43" t="str">
        <x:v>복수</x:v>
      </x:c>
      <x:c r="I64" s="43" t="str">
        <x:v>계획값</x:v>
      </x:c>
      <x:c r="J64" s="47"/>
      <x:c r="K64" s="47" t="n">
        <x:v>100000</x:v>
      </x:c>
      <x:c r="L64" s="43" t="str">
        <x:v>계획값</x:v>
      </x:c>
      <x:c r="M64" s="43" t="str">
        <x:v>REVIEW</x:v>
      </x:c>
      <x:c r="N64" s="43" t="str">
        <x:v>-</x:v>
      </x:c>
      <x:c r="O64" s="43" t="str">
        <x:v>2026-09-17</x:v>
      </x:c>
      <x:c r="P64" s="43" t="str"/>
      <x:c r="Q64" s="43" t="str">
        <x:v>실결제 시 실제 배송비로 교체</x:v>
      </x:c>
      <x:c r="R64" s="47" t="str">
        <x:f>IF(ISNUMBER(J64),F64*J64,"")</x:f>
      </x:c>
      <x:c r="S64" s="47" t="n">
        <x:f>F64*K64</x:f>
        <x:v>100000</x:v>
      </x:c>
    </x:row>
    <x:row r="65">
      <x:c r="R65" s="48"/>
      <x:c r="S65" s="48"/>
    </x:row>
    <x:row r="66">
      <x:c r="A66" s="53" t="str">
        <x:v>합계</x:v>
      </x:c>
      <x:c r="B66" s="53" t="str"/>
      <x:c r="C66" s="53" t="str"/>
      <x:c r="D66" s="53" t="str"/>
      <x:c r="E66" s="53" t="str"/>
      <x:c r="F66" s="53" t="str"/>
      <x:c r="G66" s="53" t="str"/>
      <x:c r="H66" s="53" t="str"/>
      <x:c r="I66" s="53" t="str"/>
      <x:c r="J66" s="53" t="str"/>
      <x:c r="K66" s="53" t="str"/>
      <x:c r="L66" s="53" t="str"/>
      <x:c r="M66" s="53" t="str"/>
      <x:c r="N66" s="53" t="str"/>
      <x:c r="O66" s="53" t="str"/>
      <x:c r="P66" s="53" t="str"/>
      <x:c r="Q66" s="53" t="str"/>
      <x:c r="R66" s="54" t="n">
        <x:f>SUM(R5:R64)</x:f>
        <x:v>778600</x:v>
      </x:c>
      <x:c r="S66" s="54" t="n">
        <x:f>SUM(S5:S64)</x:f>
        <x:v>2923200</x:v>
      </x:c>
    </x:row>
  </x:sheetData>
  <x:mergeCells>
    <x:mergeCell ref="A2:S2"/>
  </x:mergeCells>
  <x:conditionalFormatting sqref="C5:C64">
    <x:cfRule type="containsText" dxfId="4" priority="1" operator="containsText" text="OPTION"/>
  </x:conditionalFormatting>
  <x:conditionalFormatting sqref="L5:L64">
    <x:cfRule type="containsText" dxfId="5" priority="2" operator="containsText" text="HOLD"/>
  </x:conditionalFormatting>
  <x:conditionalFormatting sqref="M5:M64">
    <x:cfRule type="containsText" dxfId="6" priority="3" operator="containsText" text="BLOCK"/>
    <x:cfRule type="containsText" dxfId="7" priority="4" operator="containsText" text="REVIEW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52" hidden="0" customWidth="1"/>
    <x:col min="4" max="4" width="18" hidden="0" customWidth="1"/>
    <x:col min="5" max="5" width="12" hidden="0" customWidth="1"/>
    <x:col min="6" max="6" width="34" hidden="0" customWidth="1"/>
  </x:cols>
  <x:sheetData>
    <x:row r="1">
      <x:c r="A1" s="1" t="str">
        <x:v>공급업체 질의 추적</x:v>
      </x:c>
      <x:c r="B1" s="1"/>
      <x:c r="C1" s="1"/>
      <x:c r="D1" s="1"/>
      <x:c r="E1" s="1"/>
      <x:c r="F1" s="1"/>
    </x:row>
    <x:row r="2" ht="30" customHeight="1">
      <x:c r="A2" s="3" t="str">
        <x:v>원문은 procurement/powered_reve_eleparts_supplier_inquiry_2026-09-17.md에 있습니다.</x:v>
      </x:c>
      <x:c r="B2" s="3"/>
      <x:c r="C2" s="3"/>
      <x:c r="D2" s="3"/>
      <x:c r="E2" s="3"/>
      <x:c r="F2" s="3"/>
    </x:row>
    <x:row r="3">
      <x:c r="A3" s="4"/>
      <x:c r="B3" s="4"/>
      <x:c r="C3" s="4"/>
      <x:c r="D3" s="4"/>
      <x:c r="E3" s="4"/>
      <x:c r="F3" s="4"/>
    </x:row>
    <x:row r="4" ht="32" customHeight="1">
      <x:c r="A4" s="13" t="str">
        <x:v>ID</x:v>
      </x:c>
      <x:c r="B4" s="18" t="str">
        <x:v>대상</x:v>
      </x:c>
      <x:c r="C4" s="18" t="str">
        <x:v>질문</x:v>
      </x:c>
      <x:c r="D4" s="18" t="str">
        <x:v>필요 증거</x:v>
      </x:c>
      <x:c r="E4" s="18" t="str">
        <x:v>상태</x:v>
      </x:c>
      <x:c r="F4" s="14" t="str">
        <x:v>설계 영향</x:v>
      </x:c>
    </x:row>
    <x:row r="5" ht="46" customHeight="1">
      <x:c r="A5" s="29" t="str">
        <x:v>Q01</x:v>
      </x:c>
      <x:c r="B5" s="29" t="str">
        <x:v>LM4075OE</x:v>
      </x:c>
      <x:c r="C5" s="29" t="str">
        <x:v>24 V·100 mm·5 V 6 ppr 옵션</x:v>
      </x:c>
      <x:c r="D5" s="29" t="str">
        <x:v>공개 상세페이지</x:v>
      </x:c>
      <x:c r="E5" s="29" t="str">
        <x:v>CLOSED-DATA</x:v>
      </x:c>
      <x:c r="F5" s="29" t="str">
        <x:v>모터뱅크에서 선택 가능</x:v>
      </x:c>
    </x:row>
    <x:row r="6" ht="46" customHeight="1">
      <x:c r="A6" s="29" t="str">
        <x:v>Q02</x:v>
      </x:c>
      <x:c r="B6" s="29" t="str">
        <x:v>LM4075OE</x:v>
      </x:c>
      <x:c r="C6" s="29" t="str">
        <x:v>3대 및 선택 1대의 재고·출고일</x:v>
      </x:c>
      <x:c r="D6" s="29" t="str">
        <x:v>결제 화면/판매자</x:v>
      </x:c>
      <x:c r="E6" s="29" t="str">
        <x:v>OPEN-AT-CHECKOUT</x:v>
      </x:c>
      <x:c r="F6" s="29" t="str">
        <x:v>결제 직전에만 확인</x:v>
      </x:c>
    </x:row>
    <x:row r="7" ht="46" customHeight="1">
      <x:c r="A7" s="29" t="str">
        <x:v>Q03</x:v>
      </x:c>
      <x:c r="B7" s="29" t="str">
        <x:v>LM4075OE</x:v>
      </x:c>
      <x:c r="C7" s="29" t="str">
        <x:v>24 V 전류·듀티·내장 리미트</x:v>
      </x:c>
      <x:c r="D7" s="29" t="str">
        <x:v>공개 상세이미지</x:v>
      </x:c>
      <x:c r="E7" s="29" t="str">
        <x:v>CLOSED-DATA</x:v>
      </x:c>
      <x:c r="F7" s="29" t="str">
        <x:v>0.4/1.5 A, 듀티 20%, 내장 리미트</x:v>
      </x:c>
    </x:row>
    <x:row r="8" ht="46" customHeight="1">
      <x:c r="A8" s="29" t="str">
        <x:v>Q04</x:v>
      </x:c>
      <x:c r="B8" s="29" t="str">
        <x:v>LM4075OE</x:v>
      </x:c>
      <x:c r="C8" s="29" t="str">
        <x:v>엔코더 배선과 counts/mm</x:v>
      </x:c>
      <x:c r="D8" s="29" t="str">
        <x:v>공개 상세페이지+실측</x:v>
      </x:c>
      <x:c r="E8" s="29" t="str">
        <x:v>SAMPLE-CHECK</x:v>
      </x:c>
      <x:c r="F8" s="29" t="str">
        <x:v>A/B 배선 공개; 초기 x4 151.181 count/mm, 50 mm 보정</x:v>
      </x:c>
    </x:row>
    <x:row r="9" ht="46" customHeight="1">
      <x:c r="A9" s="29" t="str">
        <x:v>Q05</x:v>
      </x:c>
      <x:c r="B9" s="29" t="str">
        <x:v>LMB-10</x:v>
      </x:c>
      <x:c r="C9" s="29" t="str">
        <x:v>전체 치수와 핀/R클립 구성</x:v>
      </x:c>
      <x:c r="D9" s="29" t="str">
        <x:v>공개 상세이미지</x:v>
      </x:c>
      <x:c r="E9" s="29" t="str">
        <x:v>CLOSED-DATA</x:v>
      </x:c>
      <x:c r="F9" s="29" t="str">
        <x:v>CAD 반영 후 입고 대조</x:v>
      </x:c>
    </x:row>
    <x:row r="10" ht="46" customHeight="1">
      <x:c r="A10" s="29" t="str">
        <x:v>Q06</x:v>
      </x:c>
      <x:c r="B10" s="29" t="str">
        <x:v>LDK PHS 6</x:v>
      </x:c>
      <x:c r="C10" s="29" t="str">
        <x:v>M6 나사·외형·편각·하중</x:v>
      </x:c>
      <x:c r="D10" s="29" t="str">
        <x:v>원본 데이터시트</x:v>
      </x:c>
      <x:c r="E10" s="29" t="str">
        <x:v>CLOSED-DATA</x:v>
      </x:c>
      <x:c r="F10" s="29" t="str">
        <x:v>CAD 대체 필요</x:v>
      </x:c>
    </x:row>
    <x:row r="11" ht="46" customHeight="1">
      <x:c r="A11" s="29" t="str">
        <x:v>Q07</x:v>
      </x:c>
      <x:c r="B11" s="29" t="str">
        <x:v>24 V PSU·E-stop</x:v>
      </x:c>
      <x:c r="C11" s="29" t="str">
        <x:v>최종 SKU 재고와 DC 정격</x:v>
      </x:c>
      <x:c r="D11" s="29" t="str">
        <x:v>데이터시트/결제화면</x:v>
      </x:c>
      <x:c r="E11" s="29" t="str">
        <x:v>OPEN</x:v>
      </x:c>
      <x:c r="F11" s="29" t="str">
        <x:v>전장 BOM 동결</x:v>
      </x:c>
    </x:row>
    <x:row r="12" ht="46" customHeight="1">
      <x:c r="A12" s="30" t="str">
        <x:v>Q08</x:v>
      </x:c>
      <x:c r="B12" s="30" t="str">
        <x:v>전체</x:v>
      </x:c>
      <x:c r="C12" s="30" t="str">
        <x:v>재고·합배송·총액</x:v>
      </x:c>
      <x:c r="D12" s="30" t="str">
        <x:v>결제 화면</x:v>
      </x:c>
      <x:c r="E12" s="30" t="str">
        <x:v>OPEN-AT-CHECKOUT</x:v>
      </x:c>
      <x:c r="F12" s="30" t="str">
        <x:v>기술 질의 없이 주문 직전 확인</x:v>
      </x:c>
    </x:row>
  </x:sheetData>
  <x:mergeCells>
    <x:mergeCell ref="A2:F2"/>
  </x:mergeCells>
  <x:conditionalFormatting sqref="E5:E12">
    <x:cfRule type="containsText" dxfId="8" priority="1" operator="containsText" text="OPEN"/>
    <x:cfRule type="containsText" dxfId="9" priority="2" operator="containsText" text="PARTIAL"/>
    <x:cfRule type="containsText" dxfId="10" priority="3" operator="containsText" text="CLOS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38" hidden="0" customWidth="1"/>
    <x:col min="4" max="4" width="20" hidden="0" customWidth="1"/>
    <x:col min="5" max="5" width="48" hidden="0" customWidth="1"/>
  </x:cols>
  <x:sheetData>
    <x:row r="1">
      <x:c r="A1" s="1" t="str">
        <x:v>검증 매트릭스</x:v>
      </x:c>
      <x:c r="B1" s="1"/>
      <x:c r="C1" s="1"/>
      <x:c r="D1" s="1"/>
      <x:c r="E1" s="1"/>
    </x:row>
    <x:row r="2" ht="30" customHeight="1">
      <x:c r="A2" s="3" t="str">
        <x:v>디지털 통과는 실물 조립·안전·PoC 합격을 대신하지 않습니다.</x:v>
      </x:c>
      <x:c r="B2" s="3"/>
      <x:c r="C2" s="3"/>
      <x:c r="D2" s="3"/>
      <x:c r="E2" s="3"/>
    </x:row>
    <x:row r="3">
      <x:c r="A3" s="4"/>
      <x:c r="B3" s="4"/>
      <x:c r="C3" s="4"/>
      <x:c r="D3" s="4"/>
      <x:c r="E3" s="4"/>
    </x:row>
    <x:row r="4" ht="32" customHeight="1">
      <x:c r="A4" s="13" t="str">
        <x:v>ID</x:v>
      </x:c>
      <x:c r="B4" s="18" t="str">
        <x:v>항목</x:v>
      </x:c>
      <x:c r="C4" s="18" t="str">
        <x:v>합격기준</x:v>
      </x:c>
      <x:c r="D4" s="18" t="str">
        <x:v>현재 상태</x:v>
      </x:c>
      <x:c r="E4" s="14" t="str">
        <x:v>증거/다음 조치</x:v>
      </x:c>
    </x:row>
    <x:row r="5" ht="42" customHeight="1">
      <x:c r="A5" s="29" t="str">
        <x:v>RQ-01</x:v>
      </x:c>
      <x:c r="B5" s="29" t="str">
        <x:v>시연 범위</x:v>
      </x:c>
      <x:c r="C5" s="29" t="str">
        <x:v>카트·적재물·사람 없음</x:v>
      </x:c>
      <x:c r="D5" s="29" t="str">
        <x:v>PASS-DIGITAL</x:v>
      </x:c>
      <x:c r="E5" s="29" t="str">
        <x:v>승인 기준</x:v>
      </x:c>
    </x:row>
    <x:row r="6" ht="42" customHeight="1">
      <x:c r="A6" s="29" t="str">
        <x:v>RQ-02</x:v>
      </x:c>
      <x:c r="B6" s="29" t="str">
        <x:v>Z/pitch/roll</x:v>
      </x:c>
      <x:c r="C6" s="29" t="str">
        <x:v>Z 0~50 mm, pitch/roll 동시 ±3°</x:v>
      </x:c>
      <x:c r="D6" s="29" t="str">
        <x:v>LEGACY/OPEN-CAD</x:v>
      </x:c>
      <x:c r="E6" s="29" t="str">
        <x:v>변경 조인트·스토퍼형 재검사</x:v>
      </x:c>
    </x:row>
    <x:row r="7" ht="42" customHeight="1">
      <x:c r="A7" s="29" t="str">
        <x:v>RQ-03</x:v>
      </x:c>
      <x:c r="B7" s="29" t="str">
        <x:v>스트로크</x:v>
      </x:c>
      <x:c r="C7" s="29" t="str">
        <x:v>명령 210~280 mm, 명목 205~305 mm 안</x:v>
      </x:c>
      <x:c r="D7" s="29" t="str">
        <x:v>LEGACY/OPEN-CAD</x:v>
      </x:c>
      <x:c r="E7" s="29" t="str">
        <x:v>공개식 L1=105+S와 보유 STEP 일치; 실물 리미트점 기록</x:v>
      </x:c>
    </x:row>
    <x:row r="8" ht="42" customHeight="1">
      <x:c r="A8" s="29" t="str">
        <x:v>RQ-04</x:v>
      </x:c>
      <x:c r="B8" s="29" t="str">
        <x:v>조인트 편각</x:v>
      </x:c>
      <x:c r="C8" s="29" t="str">
        <x:v>공급자 허용값 이내</x:v>
      </x:c>
      <x:c r="D8" s="29" t="str">
        <x:v>PARTIAL-DIGITAL</x:v>
      </x:c>
      <x:c r="E8" s="29" t="str">
        <x:v>LDK PHS 6 허용 13°, 기존 모델 4.096369°; 변경 CAD 재검사</x:v>
      </x:c>
    </x:row>
    <x:row r="9" ht="42" customHeight="1">
      <x:c r="A9" s="29" t="str">
        <x:v>RQ-05</x:v>
      </x:c>
      <x:c r="B9" s="29" t="str">
        <x:v>시동</x:v>
      </x:c>
      <x:c r="C9" s="29" t="str">
        <x:v>전원인가 후 PWM=0</x:v>
      </x:c>
      <x:c r="D9" s="29" t="str">
        <x:v>OPEN-CODE</x:v>
      </x:c>
      <x:c r="E9" s="29" t="str">
        <x:v>승인 변형 펌웨어 구현·정적검사 필요</x:v>
      </x:c>
    </x:row>
    <x:row r="10" ht="42" customHeight="1">
      <x:c r="A10" s="29" t="str">
        <x:v>RQ-06</x:v>
      </x:c>
      <x:c r="B10" s="29" t="str">
        <x:v>동적 자동수평</x:v>
      </x:c>
      <x:c r="C10" s="29" t="str">
        <x:v>하부 합성 ≤1°/s, 2초 후 상부 동시충족 ≥90%, 원시 각 축 ≤2°</x:v>
      </x:c>
      <x:c r="D10" s="29" t="str">
        <x:v>OPEN-PHYSICAL</x:v>
      </x:c>
      <x:c r="E10" s="29" t="str">
        <x:v>하부 계측+독립 상부 기준계, 20 Hz</x:v>
      </x:c>
    </x:row>
    <x:row r="11" ht="42" customHeight="1">
      <x:c r="A11" s="29" t="str">
        <x:v>RQ-07</x:v>
      </x:c>
      <x:c r="B11" s="29" t="str">
        <x:v>HOME 최종자세</x:v>
      </x:c>
      <x:c r="C11" s="29" t="str">
        <x:v>세 축 실측 L_low_switch 간섭 없음</x:v>
      </x:c>
      <x:c r="D11" s="29" t="str">
        <x:v>LEGACY/OPEN-CAD</x:v>
      </x:c>
      <x:c r="E11" s="29" t="str">
        <x:v>변경 조인트·스토퍼형 재검사</x:v>
      </x:c>
    </x:row>
    <x:row r="12" ht="42" customHeight="1">
      <x:c r="A12" s="29" t="str">
        <x:v>RQ-08</x:v>
      </x:c>
      <x:c r="B12" s="29" t="str">
        <x:v>HOME 중간경로</x:v>
      </x:c>
      <x:c r="C12" s="29" t="str">
        <x:v>조밀격자·HOME_PARK·인접 JOG·HOME 중간상태 공통순서</x:v>
      </x:c>
      <x:c r="D12" s="29" t="str">
        <x:v>PARTIAL-DIGITAL</x:v>
      </x:c>
      <x:c r="E12" s="29" t="str">
        <x:v>A3→A2→A1, 같은 세션 216,951 재개상태와 89,707 명령/JOG 표본 통과; 최종 CAD 필요</x:v>
      </x:c>
    </x:row>
    <x:row r="13" ht="42" customHeight="1">
      <x:c r="A13" s="29" t="str">
        <x:v>RQ-09</x:v>
      </x:c>
      <x:c r="B13" s="29" t="str">
        <x:v>내장 리미트</x:v>
      </x:c>
      <x:c r="C13" s="29" t="str">
        <x:v>양단 정지·역방향 탈출</x:v>
      </x:c>
      <x:c r="D13" s="29" t="str">
        <x:v>PUBLIC-DATA/SAMPLE-TEST</x:v>
      </x:c>
      <x:c r="E13" s="29" t="str">
        <x:v>내장 리미트 공개표기; 축별 저속 JOG 확인</x:v>
      </x:c>
    </x:row>
    <x:row r="14" ht="42" customHeight="1">
      <x:c r="A14" s="29" t="str">
        <x:v>RQ-10</x:v>
      </x:c>
      <x:c r="B14" s="29" t="str">
        <x:v>E-stop</x:v>
      </x:c>
      <x:c r="C14" s="29" t="str">
        <x:v>PC 무관 24 V 모터전원 차단</x:v>
      </x:c>
      <x:c r="D14" s="29" t="str">
        <x:v>OPEN-SUPPLIER</x:v>
      </x:c>
      <x:c r="E14" s="29" t="str">
        <x:v>DC 정격과 회로</x:v>
      </x:c>
    </x:row>
    <x:row r="15" ht="42" customHeight="1">
      <x:c r="A15" s="29" t="str">
        <x:v>RQ-11</x:v>
      </x:c>
      <x:c r="B15" s="29" t="str">
        <x:v>구매처</x:v>
      </x:c>
      <x:c r="C15" s="29" t="str">
        <x:v>모터뱅크+엘레파츠, 총 2곳</x:v>
      </x:c>
      <x:c r="D15" s="29" t="str">
        <x:v>PARTIAL-CLOSED</x:v>
      </x:c>
      <x:c r="E15" s="29" t="str">
        <x:v>액추에이터와 LMB-10은 모터뱅크 한 장바구니</x:v>
      </x:c>
    </x:row>
    <x:row r="16" ht="42" customHeight="1">
      <x:c r="A16" s="29" t="str">
        <x:v>RQ-12</x:v>
      </x:c>
      <x:c r="B16" s="29" t="str">
        <x:v>예산</x:v>
      </x:c>
      <x:c r="C16" s="29" t="str">
        <x:v>스토퍼 릴리스형 기본·예비품 포함안 각각 400만원 이하</x:v>
      </x:c>
      <x:c r="D16" s="29" t="str">
        <x:v>OPEN-SUPPLIER</x:v>
      </x:c>
      <x:c r="E16" s="29" t="str">
        <x:v>확정 SKU·VAT·배송·가공 필요</x:v>
      </x:c>
    </x:row>
    <x:row r="17" ht="42" customHeight="1">
      <x:c r="A17" s="29" t="str">
        <x:v>RQ-13</x:v>
      </x:c>
      <x:c r="B17" s="29" t="str">
        <x:v>보고서</x:v>
      </x:c>
      <x:c r="C17" s="29" t="str">
        <x:v>단계별 사진과 로그</x:v>
      </x:c>
      <x:c r="D17" s="29" t="str">
        <x:v>OPEN-PHYSICAL</x:v>
      </x:c>
      <x:c r="E17" s="29" t="str">
        <x:v>입고부터 오류시험까지</x:v>
      </x:c>
    </x:row>
    <x:row r="18" ht="42" customHeight="1">
      <x:c r="A18" s="29" t="str">
        <x:v>DEV-01</x:v>
      </x:c>
      <x:c r="B18" s="29" t="str">
        <x:v>무스토퍼 분석형</x:v>
      </x:c>
      <x:c r="C18" s="29" t="str">
        <x:v>사용자 요청과 프로젝트 규칙 충돌</x:v>
      </x:c>
      <x:c r="D18" s="29" t="str">
        <x:v>DEVIATION</x:v>
      </x:c>
      <x:c r="E18" s="29" t="str">
        <x:v>구매형은 독립 스토퍼 CAD·정격·비용 필수</x:v>
      </x:c>
    </x:row>
    <x:row r="19" ht="42" customHeight="1">
      <x:c r="A19" s="29" t="str">
        <x:v>DEV-02</x:v>
      </x:c>
      <x:c r="B19" s="29" t="str">
        <x:v>1축 선구매 생략</x:v>
      </x:c>
      <x:c r="C19" s="29" t="str">
        <x:v>3축 동시구매 후 축별 시운전</x:v>
      </x:c>
      <x:c r="D19" s="29" t="str">
        <x:v>DEVIATION</x:v>
      </x:c>
      <x:c r="E19" s="29" t="str">
        <x:v>공급자 자료로 선행 위험저감</x:v>
      </x:c>
    </x:row>
    <x:row r="20" ht="42" customHeight="1">
      <x:c r="A20" s="29" t="str">
        <x:v>RQ-14</x:v>
      </x:c>
      <x:c r="B20" s="29" t="str">
        <x:v>조밀 격자·경로 스크리닝</x:v>
      </x:c>
      <x:c r="C20" s="29" t="str">
        <x:v>Z 5 mm·각도 0.5° 격자, Z≤1 mm·각도≤0.1° 선분</x:v>
      </x:c>
      <x:c r="D20" s="29" t="str">
        <x:v>OPEN-CAD</x:v>
      </x:c>
      <x:c r="E20" s="29" t="str">
        <x:v>유한표본; 연속영역 증명 아님</x:v>
      </x:c>
    </x:row>
    <x:row r="21" ht="42" customHeight="1">
      <x:c r="A21" s="29" t="str">
        <x:v>RQ-15</x:v>
      </x:c>
      <x:c r="B21" s="29" t="str">
        <x:v>HOME 종단</x:v>
      </x:c>
      <x:c r="C21" s="29" t="str">
        <x:v>no-pulse+개방리미트/저전류, 1.0±0.2 mm/s, 탈출≥90%, 재접근 2회</x:v>
      </x:c>
      <x:c r="D21" s="29" t="str">
        <x:v>OPEN-CODE</x:v>
      </x:c>
      <x:c r="E21" s="29" t="str">
        <x:v>걸림&gt;1.5×I_home_run은 FAULT</x:v>
      </x:c>
    </x:row>
    <x:row r="22" ht="42" customHeight="1">
      <x:c r="A22" s="29" t="str">
        <x:v>RQ-16</x:v>
      </x:c>
      <x:c r="B22" s="29" t="str">
        <x:v>전원 릴리스</x:v>
      </x:c>
      <x:c r="C22" s="29" t="str">
        <x:v>컨택터 입력 1 A 제한 24 V, 해제 출력±5%, 작동 1초 후≤1 V</x:v>
      </x:c>
      <x:c r="D22" s="29" t="str">
        <x:v>OPEN-PHYSICAL</x:v>
      </x:c>
      <x:c r="E22" s="29" t="str">
        <x:v>드라이버·모터 분리 무부하 시험</x:v>
      </x:c>
    </x:row>
    <x:row r="23" ht="42" customHeight="1">
      <x:c r="A23" s="29" t="str">
        <x:v>RQ-17</x:v>
      </x:c>
      <x:c r="B23" s="29" t="str">
        <x:v>독립 스토퍼</x:v>
      </x:c>
      <x:c r="C23" s="29" t="str">
        <x:v>전기 리미트와 독립된 볼트조립식 종단구속</x:v>
      </x:c>
      <x:c r="D23" s="29" t="str">
        <x:v>OPEN-CAD</x:v>
      </x:c>
      <x:c r="E23" s="29" t="str">
        <x:v>프로젝트 게이트는 유지하되 단순 볼트조립안 우선</x:v>
      </x:c>
    </x:row>
    <x:row r="24" ht="42" customHeight="1">
      <x:c r="A24" s="29" t="str">
        <x:v>RQ-18</x:v>
      </x:c>
      <x:c r="B24" s="29" t="str">
        <x:v>계측 동기·정확도</x:v>
      </x:c>
      <x:c r="C24" s="29" t="str">
        <x:v>skew≤25 ms, 정확도≤±0.2°, 분해능≤0.05°, 영점≤0.2°</x:v>
      </x:c>
      <x:c r="D24" s="29" t="str">
        <x:v>OPEN-SUPPLIER</x:v>
      </x:c>
      <x:c r="E24" s="29" t="str">
        <x:v>TTL/동기 이벤트, -3/0/+3° 확인</x:v>
      </x:c>
    </x:row>
    <x:row r="25" ht="42" customHeight="1">
      <x:c r="A25" s="30" t="str">
        <x:v>RQ-19</x:v>
      </x:c>
      <x:c r="B25" s="30" t="str">
        <x:v>최초 HOME</x:v>
      </x:c>
      <x:c r="C25" s="30" t="str">
        <x:v>블록지지 실측, 10 mm 1축 JOG 교정 후 리미트·NVM 저장</x:v>
      </x:c>
      <x:c r="D25" s="30" t="str">
        <x:v>OPEN-PHYSICAL</x:v>
      </x:c>
      <x:c r="E25" s="30" t="str">
        <x:v>COMMISSIONING_HOME 1회 필수</x:v>
      </x:c>
    </x:row>
  </x:sheetData>
  <x:mergeCells>
    <x:mergeCell ref="A2:E2"/>
  </x:mergeCells>
  <x:conditionalFormatting sqref="D5:D25">
    <x:cfRule type="containsText" dxfId="11" priority="1" operator="containsText" text="PASS"/>
    <x:cfRule type="containsText" dxfId="12" priority="2" operator="containsText" text="LEGACY"/>
    <x:cfRule type="containsText" dxfId="13" priority="3" operator="containsText" text="OPEN"/>
    <x:cfRule type="containsText" dxfId="14" priority="4" operator="containsText" text="PARTIAL"/>
    <x:cfRule type="containsText" dxfId="15" priority="5" operator="containsText" text="DEVIATIO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62" hidden="0" customWidth="1"/>
    <x:col min="4" max="4" width="14" hidden="0" customWidth="1"/>
    <x:col min="5" max="5" width="70" hidden="0" customWidth="1"/>
  </x:cols>
  <x:sheetData>
    <x:row r="1">
      <x:c r="A1" s="1" t="str">
        <x:v>가격·사양 출처</x:v>
      </x:c>
      <x:c r="B1" s="1"/>
      <x:c r="C1" s="1"/>
      <x:c r="D1" s="1"/>
      <x:c r="E1" s="1"/>
    </x:row>
    <x:row r="2" ht="30" customHeight="1">
      <x:c r="A2" s="3" t="str">
        <x:v>웹 가격과 재고는 변동될 수 있습니다. 결제 직전에 다시 확인하고 입고 후 핵심 치수·동작을 대조합니다.</x:v>
      </x:c>
      <x:c r="B2" s="3"/>
      <x:c r="C2" s="3"/>
      <x:c r="D2" s="3"/>
      <x:c r="E2" s="3"/>
    </x:row>
    <x:row r="3">
      <x:c r="A3" s="4"/>
      <x:c r="B3" s="4"/>
      <x:c r="C3" s="4"/>
      <x:c r="D3" s="4"/>
      <x:c r="E3" s="4"/>
    </x:row>
    <x:row r="4" ht="32" customHeight="1">
      <x:c r="A4" s="13" t="str">
        <x:v>ID</x:v>
      </x:c>
      <x:c r="B4" s="18" t="str">
        <x:v>출처</x:v>
      </x:c>
      <x:c r="C4" s="18" t="str">
        <x:v>확인 내용</x:v>
      </x:c>
      <x:c r="D4" s="18" t="str">
        <x:v>확인일</x:v>
      </x:c>
      <x:c r="E4" s="14" t="str">
        <x:v>URL/파일</x:v>
      </x:c>
    </x:row>
    <x:row r="5" ht="46" customHeight="1">
      <x:c r="A5" s="42" t="str">
        <x:v>S01</x:v>
      </x:c>
      <x:c r="B5" s="42" t="str">
        <x:v>LM4075OE-1075 엘레파츠 판매페이지</x:v>
      </x:c>
      <x:c r="C5" s="42" t="str">
        <x:v>6 ppr, 12/24 V, 10 mm/s, 750 N, 2000 N self-lock, 24V/100mm 옵션, 123,500원 VAT포함, 납기 게시판 문의</x:v>
      </x:c>
      <x:c r="D5" s="42" t="str">
        <x:v>2026-09-17</x:v>
      </x:c>
      <x:c r="E5" s="42" t="str">
        <x:v>https://eleparts.co.kr/goods/view?no=17315391</x:v>
      </x:c>
    </x:row>
    <x:row r="6" ht="46" customHeight="1">
      <x:c r="A6" s="42" t="str">
        <x:v>S01B</x:v>
      </x:c>
      <x:c r="B6" s="42" t="str">
        <x:v>LM4075OE-1075 모터뱅크 판매페이지</x:v>
      </x:c>
      <x:c r="C6" s="42" t="str">
        <x:v>24V/100mm/5V 선택, 126,500원, 0.4/1.5 A, 듀티 20%, 내장 리미트, 6 ppr A/B, L1=105+S</x:v>
      </x:c>
      <x:c r="D6" s="42" t="str">
        <x:v>2026-09-17</x:v>
      </x:c>
      <x:c r="E6" s="42" t="str">
        <x:v>https://www.motorbank.kr/goods/goods_view.php?goodsNo=1000035578</x:v>
      </x:c>
    </x:row>
    <x:row r="7" ht="46" customHeight="1">
      <x:c r="A7" s="42" t="str">
        <x:v>S02</x:v>
      </x:c>
      <x:c r="B7" s="42" t="str">
        <x:v>LMB-10 모터뱅크 판매페이지</x:v>
      </x:c>
      <x:c r="C7" s="42" t="str">
        <x:v>4,400원. W26/내부20/L56/H44/핀H36/중심거리36/t3/Ø6.2/Ø8/R8/후단17, 핀·R클립 구성</x:v>
      </x:c>
      <x:c r="D7" s="42" t="str">
        <x:v>2026-09-17</x:v>
      </x:c>
      <x:c r="E7" s="42" t="str">
        <x:v>https://www.motorbank.kr/goods/goods_view.php?goodsNo=1000007655</x:v>
      </x:c>
    </x:row>
    <x:row r="8" ht="46" customHeight="1">
      <x:c r="A8" s="42" t="str">
        <x:v>S03</x:v>
      </x:c>
      <x:c r="B8" s="42" t="str">
        <x:v>LDK PHS 6 판매페이지</x:v>
      </x:c>
      <x:c r="C8" s="42" t="str">
        <x:v>M6 female, bore 6 mm, 모델 185-2467, 33,000원 VAT포함, 주문가능 22개 표시, 평균 12영업일(10/08)</x:v>
      </x:c>
      <x:c r="D8" s="42" t="str">
        <x:v>2026-09-17</x:v>
      </x:c>
      <x:c r="E8" s="42" t="str">
        <x:v>https://eleparts.co.kr/goods/view?no=16325532</x:v>
      </x:c>
    </x:row>
    <x:row r="9" ht="46" customHeight="1">
      <x:c r="A9" s="42" t="str">
        <x:v>S03B</x:v>
      </x:c>
      <x:c r="B9" s="42" t="str">
        <x:v>LDK PHS 6 원본 데이터시트</x:v>
      </x:c>
      <x:c r="C9" s="42" t="str">
        <x:v>M6-6H, 보어 6 mm, 허용편각 13°, 동/정 3.2/8.1 kN과 전체 치수표</x:v>
      </x:c>
      <x:c r="D9" s="42" t="str">
        <x:v>2026-09-17</x:v>
      </x:c>
      <x:c r="E9" s="42" t="str">
        <x:v>https://docs.rs-online.com/ed97/0900766b816d875e.pdf</x:v>
      </x:c>
    </x:row>
    <x:row r="10" ht="46" customHeight="1">
      <x:c r="A10" s="42" t="str">
        <x:v>S04</x:v>
      </x:c>
      <x:c r="B10" s="42" t="str">
        <x:v>프로파일 카테고리</x:v>
      </x:c>
      <x:c r="C10" s="42" t="str">
        <x:v>3030/4040 절단품과 관련 프로파일 품목군</x:v>
      </x:c>
      <x:c r="D10" s="42" t="str">
        <x:v>2026-09-17</x:v>
      </x:c>
      <x:c r="E10" s="42" t="str">
        <x:v>https://eleparts.co.kr/goods/catalog?code=001200150007</x:v>
      </x:c>
    </x:row>
    <x:row r="11" ht="46" customHeight="1">
      <x:c r="A11" s="42" t="str">
        <x:v>S05</x:v>
      </x:c>
      <x:c r="B11" s="42" t="str">
        <x:v>Cytron MDD10A 카테고리</x:v>
      </x:c>
      <x:c r="C11" s="42" t="str">
        <x:v>5~30 V, 10 A/channel, 2채널, 36,200원</x:v>
      </x:c>
      <x:c r="D11" s="42" t="str">
        <x:v>2026-09-17</x:v>
      </x:c>
      <x:c r="E11" s="42" t="str">
        <x:v>https://eleparts.co.kr/goods/catalog?code=000900050001</x:v>
      </x:c>
    </x:row>
    <x:row r="12" ht="46" customHeight="1">
      <x:c r="A12" s="42" t="str">
        <x:v>S06</x:v>
      </x:c>
      <x:c r="B12" s="42" t="str">
        <x:v>Arduino Mega2560 카테고리</x:v>
      </x:c>
      <x:c r="C12" s="42" t="str">
        <x:v>정품 A000067, 70,400원</x:v>
      </x:c>
      <x:c r="D12" s="42" t="str">
        <x:v>2026-09-17</x:v>
      </x:c>
      <x:c r="E12" s="42" t="str">
        <x:v>https://eleparts.co.kr/goods/catalog?code=0017003600020001</x:v>
      </x:c>
    </x:row>
    <x:row r="13" ht="46" customHeight="1">
      <x:c r="A13" s="42" t="str">
        <x:v>S07</x:v>
      </x:c>
      <x:c r="B13" s="42" t="str">
        <x:v>GY-521 카테고리</x:v>
      </x:c>
      <x:c r="C13" s="42" t="str">
        <x:v>MPU6050, 3~5 V, 4,900원</x:v>
      </x:c>
      <x:c r="D13" s="42" t="str">
        <x:v>2026-09-17</x:v>
      </x:c>
      <x:c r="E13" s="42" t="str">
        <x:v>https://eleparts.co.kr/goods/brand?brand_code=3728&amp;cate_code=00170036</x:v>
      </x:c>
    </x:row>
    <x:row r="14" ht="46" customHeight="1">
      <x:c r="A14" s="42" t="str">
        <x:v>S08</x:v>
      </x:c>
      <x:c r="B14" s="42" t="str">
        <x:v>ERP-350-24 판매페이지</x:v>
      </x:c>
      <x:c r="C14" s="42" t="str">
        <x:v>24 V 14.6 A. 확인한 대표 SKU는 품절, 대체 SKU 표시</x:v>
      </x:c>
      <x:c r="D14" s="42" t="str">
        <x:v>2026-09-17</x:v>
      </x:c>
      <x:c r="E14" s="42" t="str">
        <x:v>https://eleparts.co.kr/goods/view?no=2558935</x:v>
      </x:c>
    </x:row>
    <x:row r="15" ht="46" customHeight="1">
      <x:c r="A15" s="42" t="str">
        <x:v>S09</x:v>
      </x:c>
      <x:c r="B15" s="42" t="str">
        <x:v>24 V→5 V 후보</x:v>
      </x:c>
      <x:c r="C15" s="42" t="str">
        <x:v>5 V 5 A, 보호기능, 7,800원, 약 10영업일</x:v>
      </x:c>
      <x:c r="D15" s="42" t="str">
        <x:v>2026-09-17</x:v>
      </x:c>
      <x:c r="E15" s="42" t="str">
        <x:v>https://www.eleparts.co.kr/goods/brand?brand_code=12319</x:v>
      </x:c>
    </x:row>
    <x:row r="16" ht="46" customHeight="1">
      <x:c r="A16" s="42" t="str">
        <x:v>S10</x:v>
      </x:c>
      <x:c r="B16" s="42" t="str">
        <x:v>E-stop 후보</x:v>
      </x:c>
      <x:c r="C16" s="42" t="str">
        <x:v>EAO 2NC 트위스트 복귀 후보</x:v>
      </x:c>
      <x:c r="D16" s="42" t="str">
        <x:v>2026-09-17</x:v>
      </x:c>
      <x:c r="E16" s="42" t="str">
        <x:v>https://eleparts.co.kr/goods/view?no=9221707</x:v>
      </x:c>
    </x:row>
    <x:row r="17" ht="46" customHeight="1">
      <x:c r="A17" s="42" t="str">
        <x:v>S11</x:v>
      </x:c>
      <x:c r="B17" s="42" t="str">
        <x:v>24 VDC 릴레이 후보</x:v>
      </x:c>
      <x:c r="C17" s="42" t="str">
        <x:v>Finder 24 VDC coil, 20 A. 실제 DC 차단정격 확인 필요</x:v>
      </x:c>
      <x:c r="D17" s="42" t="str">
        <x:v>2026-09-17</x:v>
      </x:c>
      <x:c r="E17" s="42" t="str">
        <x:v>https://eleparts.co.kr/goods/view?no=3397412</x:v>
      </x:c>
    </x:row>
    <x:row r="18" ht="46" customHeight="1">
      <x:c r="A18" s="42" t="str">
        <x:v>S12</x:v>
      </x:c>
      <x:c r="B18" s="42" t="str">
        <x:v>기존 디지털 감사</x:v>
      </x:c>
      <x:c r="C18" s="42" t="str">
        <x:v>27자세, 간섭, 펌웨어와 미결 위험</x:v>
      </x:c>
      <x:c r="D18" s="42" t="str">
        <x:v>2026-09-04</x:v>
      </x:c>
      <x:c r="E18" s="42" t="str">
        <x:v>verification/RevE_PoC_release_candidate_audit_2026-09-04.md</x:v>
      </x:c>
    </x:row>
    <x:row r="19" ht="46" customHeight="1">
      <x:c r="A19" s="42" t="str">
        <x:v>S13</x:v>
      </x:c>
      <x:c r="B19" s="42" t="str">
        <x:v>HOME 재개·정상창 복귀</x:v>
      </x:c>
      <x:c r="C19" s="42" t="str">
        <x:v>216,951개 같은 세션 위상보존 재개상태 일치, 명목 205→210 mm 6순환 통과</x:v>
      </x:c>
      <x:c r="D19" s="42" t="str">
        <x:v>2026-09-17</x:v>
      </x:c>
      <x:c r="E19" s="42" t="str">
        <x:v>verification/reve_home_resume_closure_2026-09-17.json</x:v>
      </x:c>
    </x:row>
    <x:row r="20" ht="46" customHeight="1">
      <x:c r="A20" s="57" t="str">
        <x:v>S14</x:v>
      </x:c>
      <x:c r="B20" s="57" t="str">
        <x:v>HOME 준비/JOG 경로</x:v>
      </x:c>
      <x:c r="C20" s="57" t="str">
        <x:v>HOME_PARK 1,859선분+인접 JOG 5,122선분, 총 89,707표본 예비 통과</x:v>
      </x:c>
      <x:c r="D20" s="57" t="str">
        <x:v>2026-09-17</x:v>
      </x:c>
      <x:c r="E20" s="57" t="str">
        <x:v>verification/reve_command_jog_path_audit_2026-09-17.json</x:v>
      </x:c>
    </x:row>
  </x:sheetData>
  <x:mergeCells>
    <x:mergeCell ref="A2:E2"/>
  </x:mergeCells>
  <x:pageMargins left="0.7" right="0.7" top="0.75" bottom="0.75" header="0.3" footer="0.3"/>
</x:worksheet>
</file>