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f8f7db096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최종BOM" sheetId="1" r:id="R2ace6a1e7a504542"/>
    <x:sheet xmlns:r="http://schemas.openxmlformats.org/officeDocument/2006/relationships" name="구매요약" sheetId="2" r:id="R26cdf93e8f054dd0"/>
    <x:sheet xmlns:r="http://schemas.openxmlformats.org/officeDocument/2006/relationships" name="CAD·조립확인" sheetId="3" r:id="R34914c1e484749e6"/>
    <x:sheet xmlns:r="http://schemas.openxmlformats.org/officeDocument/2006/relationships" name="결제전체크" sheetId="4" r:id="Reb77a765a9b5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₩#,##0"/>
  </x:numFmts>
  <x:fonts count="13">
    <x:font>
      <x:sz val="11"/>
      <x:name val="Carlito"/>
    </x:font>
    <x:font>
      <x:sz val="9"/>
      <x:name val="Malgun Gothic"/>
    </x:font>
    <x:font>
      <x:b/>
      <x:sz val="9"/>
      <x:color rgb="FFFFFFFF"/>
      <x:name val="Malgun Gothic"/>
    </x:font>
    <x:font>
      <x:b/>
      <x:sz val="16"/>
      <x:color rgb="FFFFFFFF"/>
      <x:name val="Malgun Gothic"/>
    </x:font>
    <x:font>
      <x:sz val="11"/>
      <x:color rgb="FF243447"/>
      <x:name val="Malgun Gothic"/>
    </x:font>
    <x:font>
      <x:b/>
      <x:sz val="11"/>
      <x:color rgb="FF243447"/>
      <x:name val="Malgun Gothic"/>
    </x:font>
    <x:font>
      <x:b/>
      <x:sz val="11"/>
      <x:color rgb="FF7F6000"/>
      <x:name val="Malgun Gothic"/>
    </x:font>
    <x:font>
      <x:b/>
      <x:sz val="11"/>
      <x:color rgb="FFFFFFFF"/>
      <x:name val="Malgun Gothic"/>
    </x:font>
    <x:font>
      <x:b/>
      <x:sz val="11"/>
      <x:color rgb="FF21362F"/>
      <x:name val="Malgun Gothic"/>
    </x:font>
    <x:font>
      <x:sz val="11"/>
      <x:name val="Malgun Gothic"/>
    </x:font>
    <x:font>
      <x:b/>
      <x:sz val="15"/>
      <x:color rgb="FFFFFFFF"/>
      <x:name val="Malgun Gothic"/>
    </x:font>
    <x:font>
      <x:b/>
      <x:sz val="10"/>
      <x:color rgb="FFFFFFFF"/>
      <x:name val="Malgun Gothic"/>
    </x:font>
    <x:font>
      <x:sz val="10"/>
      <x:name val="Malgun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DCE6F1"/>
      </x:patternFill>
    </x:fill>
    <x:fill>
      <x:patternFill patternType="solid">
        <x:fgColor rgb="FFE8EEF4"/>
      </x:patternFill>
    </x:fill>
    <x:fill>
      <x:patternFill patternType="solid">
        <x:fgColor rgb="FFFFF2CC"/>
      </x:patternFill>
    </x:fill>
    <x:fill>
      <x:patternFill patternType="solid">
        <x:fgColor rgb="FF2F6F62"/>
      </x:patternFill>
    </x:fill>
    <x:fill>
      <x:patternFill patternType="solid">
        <x:fgColor rgb="FFD7E6E1"/>
      </x:patternFill>
    </x:fill>
    <x:fill>
      <x:patternFill patternType="solid">
        <x:fgColor rgb="FFA61B1B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201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1" fillId="6" borderId="1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1" fillId="6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horizontal="center" wrapText="1"/>
    </x:xf>
    <x:xf numFmtId="0" fontId="12" fillId="0" borderId="1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0" xfId="0" applyNumberFormat="1" applyFont="1" applyFill="1" applyBorder="1"/>
    <x:xf numFmtId="0" fontId="10" fillId="8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wrapText="1"/>
    </x:xf>
    <x:xf numFmtId="0" fontId="11" fillId="2" borderId="1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d98ab04da4f3d" /><Relationship Type="http://schemas.openxmlformats.org/officeDocument/2006/relationships/theme" Target="/xl/theme/theme1.xml" Id="R1fd167099024497d" /><Relationship Type="http://schemas.openxmlformats.org/officeDocument/2006/relationships/sharedStrings" Target="/xl/sharedStrings.xml" Id="R0c613fb8f3314477" /><Relationship Type="http://schemas.openxmlformats.org/officeDocument/2006/relationships/worksheet" Target="/xl/worksheets/sheet1.xml" Id="R2ace6a1e7a504542" /><Relationship Type="http://schemas.openxmlformats.org/officeDocument/2006/relationships/worksheet" Target="/xl/worksheets/sheet2.xml" Id="R26cdf93e8f054dd0" /><Relationship Type="http://schemas.openxmlformats.org/officeDocument/2006/relationships/worksheet" Target="/xl/worksheets/sheet3.xml" Id="R34914c1e484749e6" /><Relationship Type="http://schemas.openxmlformats.org/officeDocument/2006/relationships/worksheet" Target="/xl/worksheets/sheet4.xml" Id="Reb77a765a9b544fe" /></Relationships>
</file>

<file path=xl/tables/table1.xml><?xml version="1.0" encoding="utf-8"?>
<x:table xmlns:x="http://schemas.openxmlformats.org/spreadsheetml/2006/main" id="1" name="RevEFinalOrderBOM" displayName="RevEFinalOrderBOM" ref="A1:T58" headerRowCount="1" totalsRowCount="0" totalsRowShown="0">
  <x:autoFilter ref="A1:T58"/>
  <x:tableColumns count="20">
    <x:tableColumn id="1" name="발주구분"/>
    <x:tableColumn id="2" name="ID"/>
    <x:tableColumn id="3" name="분류"/>
    <x:tableColumn id="4" name="품목"/>
    <x:tableColumn id="5" name="규격"/>
    <x:tableColumn id="6" name="사용수량"/>
    <x:tableColumn id="7" name="주문수량"/>
    <x:tableColumn id="8" name="주문단위"/>
    <x:tableColumn id="9" name="공급처"/>
    <x:tableColumn id="10" name="상품번호/형번"/>
    <x:tableColumn id="11" name="단가(VAT포함)"/>
    <x:tableColumn id="12" name="확장금액"/>
    <x:tableColumn id="13" name="가격기준"/>
    <x:tableColumn id="14" name="납기"/>
    <x:tableColumn id="15" name="주문상태"/>
    <x:tableColumn id="16" name="대체허용"/>
    <x:tableColumn id="17" name="CAD/조립확인"/>
    <x:tableColumn id="18" name="구매URL"/>
    <x:tableColumn id="19" name="주문/조립 메모"/>
    <x:tableColumn id="20" name="확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48b557bfc046d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25" hidden="0" customWidth="1"/>
    <x:col min="5" max="5" width="52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8" hidden="0" customWidth="1"/>
    <x:col min="11" max="11" width="15" hidden="0" customWidth="1"/>
    <x:col min="12" max="12" width="15" hidden="0" customWidth="1"/>
    <x:col min="13" max="13" width="24" hidden="0" customWidth="1"/>
    <x:col min="14" max="14" width="20" hidden="0" customWidth="1"/>
    <x:col min="15" max="15" width="24" hidden="0" customWidth="1"/>
    <x:col min="16" max="16" width="18" hidden="0" customWidth="1"/>
    <x:col min="17" max="17" width="24" hidden="0" customWidth="1"/>
    <x:col min="18" max="18" width="50" hidden="0" customWidth="1"/>
    <x:col min="19" max="19" width="60" hidden="0" customWidth="1"/>
    <x:col min="20" max="20" width="13" hidden="0" customWidth="1"/>
  </x:cols>
  <x:sheetData>
    <x:row r="1" ht="38" customHeight="1">
      <x:c r="A1" s="14" t="str">
        <x:v>발주구분</x:v>
      </x:c>
      <x:c r="B1" s="14" t="str">
        <x:v>ID</x:v>
      </x:c>
      <x:c r="C1" s="14" t="str">
        <x:v>분류</x:v>
      </x:c>
      <x:c r="D1" s="14" t="str">
        <x:v>품목</x:v>
      </x:c>
      <x:c r="E1" s="14" t="str">
        <x:v>규격</x:v>
      </x:c>
      <x:c r="F1" s="14" t="str">
        <x:v>사용수량</x:v>
      </x:c>
      <x:c r="G1" s="14" t="str">
        <x:v>주문수량</x:v>
      </x:c>
      <x:c r="H1" s="14" t="str">
        <x:v>주문단위</x:v>
      </x:c>
      <x:c r="I1" s="14" t="str">
        <x:v>공급처</x:v>
      </x:c>
      <x:c r="J1" s="14" t="str">
        <x:v>상품번호/형번</x:v>
      </x:c>
      <x:c r="K1" s="14" t="str">
        <x:v>단가(VAT포함)</x:v>
      </x:c>
      <x:c r="L1" s="14" t="str">
        <x:v>확장금액</x:v>
      </x:c>
      <x:c r="M1" s="14" t="str">
        <x:v>가격기준</x:v>
      </x:c>
      <x:c r="N1" s="14" t="str">
        <x:v>납기</x:v>
      </x:c>
      <x:c r="O1" s="14" t="str">
        <x:v>주문상태</x:v>
      </x:c>
      <x:c r="P1" s="14" t="str">
        <x:v>대체허용</x:v>
      </x:c>
      <x:c r="Q1" s="14" t="str">
        <x:v>CAD/조립확인</x:v>
      </x:c>
      <x:c r="R1" s="14" t="str">
        <x:v>구매URL</x:v>
      </x:c>
      <x:c r="S1" s="14" t="str">
        <x:v>주문/조립 메모</x:v>
      </x:c>
      <x:c r="T1" s="14" t="str">
        <x:v>확인일</x:v>
      </x:c>
    </x:row>
    <x:row r="2" ht="44" customHeight="1">
      <x:c r="A2" s="4" t="str">
        <x:v>BASE</x:v>
      </x:c>
      <x:c r="B2" s="4" t="str">
        <x:v>S01</x:v>
      </x:c>
      <x:c r="C2" s="4" t="str">
        <x:v>구조</x:v>
      </x:c>
      <x:c r="D2" s="20" t="str">
        <x:v>하부 4040 프로파일 700 mm</x:v>
      </x:c>
      <x:c r="E2" s="20" t="str">
        <x:v>DNF4040/M8, 40×40, 흑색, 직각절단</x:v>
      </x:c>
      <x:c r="F2" s="16" t="n">
        <x:v>2</x:v>
      </x:c>
      <x:c r="G2" s="16" t="n">
        <x:v>2</x:v>
      </x:c>
      <x:c r="H2" s="4" t="str">
        <x:v>EA</x:v>
      </x:c>
      <x:c r="I2" s="4" t="str">
        <x:v>나비엠알오</x:v>
      </x:c>
      <x:c r="J2" s="4" t="str">
        <x:v>K92787708</x:v>
      </x:c>
      <x:c r="K2" s="18" t="n">
        <x:v>21989</x:v>
      </x:c>
      <x:c r="L2" s="18" t="n">
        <x:f>G2*K2</x:f>
        <x:v>43978</x:v>
      </x:c>
      <x:c r="M2" s="20" t="str">
        <x:v>VAT포함 화면가</x:v>
      </x:c>
      <x:c r="N2" s="20" t="str">
        <x:v>약 3영업일</x:v>
      </x:c>
      <x:c r="O2" s="20" t="str">
        <x:v>ORDER_BASE</x:v>
      </x:c>
      <x:c r="P2" s="20" t="str">
        <x:v>동등 규격 허용</x:v>
      </x:c>
      <x:c r="Q2" s="20" t="str">
        <x:v>CAD 수량 PASS</x:v>
      </x:c>
      <x:c r="R2" s="20" t="str">
        <x:v>https://www.navimro.com/p/K92787708/</x:v>
      </x:c>
      <x:c r="S2" s="20" t="str">
        <x:v>하부 외곽 레일 2개. 주문 시 700 mm 재확인</x:v>
      </x:c>
      <x:c r="T2" s="20" t="str">
        <x:v>2026-09-17</x:v>
      </x:c>
    </x:row>
    <x:row r="3" ht="44" customHeight="1">
      <x:c r="A3" s="4" t="str">
        <x:v>BASE</x:v>
      </x:c>
      <x:c r="B3" s="4" t="str">
        <x:v>S02</x:v>
      </x:c>
      <x:c r="C3" s="4" t="str">
        <x:v>구조</x:v>
      </x:c>
      <x:c r="D3" s="20" t="str">
        <x:v>하부 4040 프로파일 620 mm</x:v>
      </x:c>
      <x:c r="E3" s="20" t="str">
        <x:v>DNF4040/M8, 40×40, 흑색, 직각절단</x:v>
      </x:c>
      <x:c r="F3" s="16" t="n">
        <x:v>4</x:v>
      </x:c>
      <x:c r="G3" s="16" t="n">
        <x:v>4</x:v>
      </x:c>
      <x:c r="H3" s="4" t="str">
        <x:v>EA</x:v>
      </x:c>
      <x:c r="I3" s="4" t="str">
        <x:v>나비엠알오</x:v>
      </x:c>
      <x:c r="J3" s="4" t="str">
        <x:v>K92787705</x:v>
      </x:c>
      <x:c r="K3" s="18" t="n">
        <x:v>19789</x:v>
      </x:c>
      <x:c r="L3" s="18" t="n">
        <x:f>G3*K3</x:f>
        <x:v>79156</x:v>
      </x:c>
      <x:c r="M3" s="20" t="str">
        <x:v>VAT포함 화면가</x:v>
      </x:c>
      <x:c r="N3" s="20" t="str">
        <x:v>약 3영업일</x:v>
      </x:c>
      <x:c r="O3" s="20" t="str">
        <x:v>ORDER_BASE</x:v>
      </x:c>
      <x:c r="P3" s="20" t="str">
        <x:v>동등 규격 허용</x:v>
      </x:c>
      <x:c r="Q3" s="20" t="str">
        <x:v>CAD 수량 PASS</x:v>
      </x:c>
      <x:c r="R3" s="20" t="str">
        <x:v>https://www.navimro.com/p/K92787705/</x:v>
      </x:c>
      <x:c r="S3" s="20" t="str">
        <x:v>하부 횡재 4개. 주문 시 620 mm 재확인</x:v>
      </x:c>
      <x:c r="T3" s="20" t="str">
        <x:v>2026-09-17</x:v>
      </x:c>
    </x:row>
    <x:row r="4" ht="44" customHeight="1">
      <x:c r="A4" s="4" t="str">
        <x:v>BASE</x:v>
      </x:c>
      <x:c r="B4" s="4" t="str">
        <x:v>S03</x:v>
      </x:c>
      <x:c r="C4" s="4" t="str">
        <x:v>구조</x:v>
      </x:c>
      <x:c r="D4" s="20" t="str">
        <x:v>상부 3030 프로파일 700 mm</x:v>
      </x:c>
      <x:c r="E4" s="20" t="str">
        <x:v>DNF3030-6/M6, 30×30, 직각절단</x:v>
      </x:c>
      <x:c r="F4" s="16" t="n">
        <x:v>2</x:v>
      </x:c>
      <x:c r="G4" s="16" t="n">
        <x:v>2</x:v>
      </x:c>
      <x:c r="H4" s="4" t="str">
        <x:v>EA</x:v>
      </x:c>
      <x:c r="I4" s="4" t="str">
        <x:v>나비엠알오</x:v>
      </x:c>
      <x:c r="J4" s="4" t="str">
        <x:v>K42296106</x:v>
      </x:c>
      <x:c r="K4" s="18" t="n">
        <x:v>7689</x:v>
      </x:c>
      <x:c r="L4" s="18" t="n">
        <x:f>G4*K4</x:f>
        <x:v>15378</x:v>
      </x:c>
      <x:c r="M4" s="20" t="str">
        <x:v>VAT포함 화면가</x:v>
      </x:c>
      <x:c r="N4" s="20" t="str">
        <x:v>약 3영업일</x:v>
      </x:c>
      <x:c r="O4" s="20" t="str">
        <x:v>ORDER_BASE</x:v>
      </x:c>
      <x:c r="P4" s="20" t="str">
        <x:v>동등 규격 허용</x:v>
      </x:c>
      <x:c r="Q4" s="20" t="str">
        <x:v>CAD 수량 PASS</x:v>
      </x:c>
      <x:c r="R4" s="20" t="str">
        <x:v>https://www.navimro.com/p/K42296106/</x:v>
      </x:c>
      <x:c r="S4" s="20" t="str">
        <x:v>상부 외곽 레일 2개. 슬롯6/M6 확인</x:v>
      </x:c>
      <x:c r="T4" s="20" t="str">
        <x:v>2026-09-17</x:v>
      </x:c>
    </x:row>
    <x:row r="5" ht="44" customHeight="1">
      <x:c r="A5" s="4" t="str">
        <x:v>BASE</x:v>
      </x:c>
      <x:c r="B5" s="4" t="str">
        <x:v>S04</x:v>
      </x:c>
      <x:c r="C5" s="4" t="str">
        <x:v>구조</x:v>
      </x:c>
      <x:c r="D5" s="20" t="str">
        <x:v>상부 3030 프로파일 640 mm</x:v>
      </x:c>
      <x:c r="E5" s="20" t="str">
        <x:v>DNF3030-6/M6, 30×30, 직각절단</x:v>
      </x:c>
      <x:c r="F5" s="16" t="n">
        <x:v>4</x:v>
      </x:c>
      <x:c r="G5" s="16" t="n">
        <x:v>4</x:v>
      </x:c>
      <x:c r="H5" s="4" t="str">
        <x:v>EA</x:v>
      </x:c>
      <x:c r="I5" s="4" t="str">
        <x:v>나비엠알오</x:v>
      </x:c>
      <x:c r="J5" s="4" t="str">
        <x:v>K42296071</x:v>
      </x:c>
      <x:c r="K5" s="18" t="n">
        <x:v>6589</x:v>
      </x:c>
      <x:c r="L5" s="18" t="n">
        <x:f>G5*K5</x:f>
        <x:v>26356</x:v>
      </x:c>
      <x:c r="M5" s="20" t="str">
        <x:v>VAT포함 화면가</x:v>
      </x:c>
      <x:c r="N5" s="20" t="str">
        <x:v>약 3영업일</x:v>
      </x:c>
      <x:c r="O5" s="20" t="str">
        <x:v>ORDER_BASE</x:v>
      </x:c>
      <x:c r="P5" s="20" t="str">
        <x:v>동등 규격 허용</x:v>
      </x:c>
      <x:c r="Q5" s="20" t="str">
        <x:v>CAD 수량 PASS</x:v>
      </x:c>
      <x:c r="R5" s="20" t="str">
        <x:v>https://www.navimro.com/p/K42296071/</x:v>
      </x:c>
      <x:c r="S5" s="20" t="str">
        <x:v>상부 횡재 4개. 주문 시 640 mm 재확인</x:v>
      </x:c>
      <x:c r="T5" s="20" t="str">
        <x:v>2026-09-17</x:v>
      </x:c>
    </x:row>
    <x:row r="6" ht="44" customHeight="1">
      <x:c r="A6" s="4" t="str">
        <x:v>BASE</x:v>
      </x:c>
      <x:c r="B6" s="4" t="str">
        <x:v>S05</x:v>
      </x:c>
      <x:c r="C6" s="4" t="str">
        <x:v>구조</x:v>
      </x:c>
      <x:c r="D6" s="20" t="str">
        <x:v>40시리즈 직각 브래킷</x:v>
      </x:c>
      <x:c r="E6" s="20" t="str">
        <x:v>4035 다이캐스트</x:v>
      </x:c>
      <x:c r="F6" s="16" t="n">
        <x:v>8</x:v>
      </x:c>
      <x:c r="G6" s="16" t="n">
        <x:v>8</x:v>
      </x:c>
      <x:c r="H6" s="4" t="str">
        <x:v>EA</x:v>
      </x:c>
      <x:c r="I6" s="4" t="str">
        <x:v>나비엠알오</x:v>
      </x:c>
      <x:c r="J6" s="4" t="str">
        <x:v>K92782553</x:v>
      </x:c>
      <x:c r="K6" s="18" t="n">
        <x:v>913</x:v>
      </x:c>
      <x:c r="L6" s="18" t="n">
        <x:f>G6*K6</x:f>
        <x:v>7304</x:v>
      </x:c>
      <x:c r="M6" s="20" t="str">
        <x:v>VAT포함 화면가</x:v>
      </x:c>
      <x:c r="N6" s="20" t="str">
        <x:v>재고 확인</x:v>
      </x:c>
      <x:c r="O6" s="20" t="str">
        <x:v>ORDER_BASE</x:v>
      </x:c>
      <x:c r="P6" s="20" t="str">
        <x:v>동등 규격 허용</x:v>
      </x:c>
      <x:c r="Q6" s="20" t="str">
        <x:v>CAD 수량 PASS</x:v>
      </x:c>
      <x:c r="R6" s="20" t="str">
        <x:v>https://www.navimro.com/p/K92782553/</x:v>
      </x:c>
      <x:c r="S6" s="20" t="str">
        <x:v>하부 내부 코너 8곳</x:v>
      </x:c>
      <x:c r="T6" s="20" t="str">
        <x:v>2026-09-17</x:v>
      </x:c>
    </x:row>
    <x:row r="7" ht="44" customHeight="1">
      <x:c r="A7" s="4" t="str">
        <x:v>BASE</x:v>
      </x:c>
      <x:c r="B7" s="4" t="str">
        <x:v>S06</x:v>
      </x:c>
      <x:c r="C7" s="4" t="str">
        <x:v>구조</x:v>
      </x:c>
      <x:c r="D7" s="20" t="str">
        <x:v>30시리즈 직각 브래킷</x:v>
      </x:c>
      <x:c r="E7" s="20" t="str">
        <x:v>DCB3025</x:v>
      </x:c>
      <x:c r="F7" s="16" t="n">
        <x:v>8</x:v>
      </x:c>
      <x:c r="G7" s="16" t="n">
        <x:v>8</x:v>
      </x:c>
      <x:c r="H7" s="4" t="str">
        <x:v>EA</x:v>
      </x:c>
      <x:c r="I7" s="4" t="str">
        <x:v>나비엠알오</x:v>
      </x:c>
      <x:c r="J7" s="4" t="str">
        <x:v>K56842696</x:v>
      </x:c>
      <x:c r="K7" s="18" t="n">
        <x:v>660</x:v>
      </x:c>
      <x:c r="L7" s="18" t="n">
        <x:f>G7*K7</x:f>
        <x:v>5280</x:v>
      </x:c>
      <x:c r="M7" s="20" t="str">
        <x:v>VAT포함 화면가</x:v>
      </x:c>
      <x:c r="N7" s="20" t="str">
        <x:v>재고 확인</x:v>
      </x:c>
      <x:c r="O7" s="20" t="str">
        <x:v>ORDER_BASE</x:v>
      </x:c>
      <x:c r="P7" s="20" t="str">
        <x:v>동등 규격 허용</x:v>
      </x:c>
      <x:c r="Q7" s="20" t="str">
        <x:v>CAD 수량 PASS</x:v>
      </x:c>
      <x:c r="R7" s="20" t="str">
        <x:v>https://www.navimro.com/p/K56842696/</x:v>
      </x:c>
      <x:c r="S7" s="20" t="str">
        <x:v>상부 내부 코너 8곳</x:v>
      </x:c>
      <x:c r="T7" s="20" t="str">
        <x:v>2026-09-17</x:v>
      </x:c>
    </x:row>
    <x:row r="8" ht="44" customHeight="1">
      <x:c r="A8" s="4" t="str">
        <x:v>BASE</x:v>
      </x:c>
      <x:c r="B8" s="4" t="str">
        <x:v>M01</x:v>
      </x:c>
      <x:c r="C8" s="4" t="str">
        <x:v>구동</x:v>
      </x:c>
      <x:c r="D8" s="20" t="str">
        <x:v>엔코더 리니어 액추에이터</x:v>
      </x:c>
      <x:c r="E8" s="20" t="str">
        <x:v>LM4075OE-1075, DC24V, stroke 100 mm, encoder 5V/6ppr, 10 mm/s, 750 N</x:v>
      </x:c>
      <x:c r="F8" s="16" t="n">
        <x:v>3</x:v>
      </x:c>
      <x:c r="G8" s="16" t="n">
        <x:v>3</x:v>
      </x:c>
      <x:c r="H8" s="4" t="str">
        <x:v>EA</x:v>
      </x:c>
      <x:c r="I8" s="4" t="str">
        <x:v>모터뱅크</x:v>
      </x:c>
      <x:c r="J8" s="4" t="str">
        <x:v>1000035578 / 24V·100mm·5V</x:v>
      </x:c>
      <x:c r="K8" s="18" t="n">
        <x:v>126500</x:v>
      </x:c>
      <x:c r="L8" s="18" t="n">
        <x:f>G8*K8</x:f>
        <x:v>379500</x:v>
      </x:c>
      <x:c r="M8" s="20" t="str">
        <x:v>2026-09-17 상세페이지 VAT포함</x:v>
      </x:c>
      <x:c r="N8" s="20" t="str">
        <x:v>주문제작 7~14일</x:v>
      </x:c>
      <x:c r="O8" s="20" t="str">
        <x:v>ORDER_EXACT_OPTION</x:v>
      </x:c>
      <x:c r="P8" s="20" t="str">
        <x:v>대체 금지</x:v>
      </x:c>
      <x:c r="Q8" s="20" t="str">
        <x:v>27자세/핀거리 PASS</x:v>
      </x:c>
      <x:c r="R8" s="20" t="str">
        <x:v>https://www.motorbank.kr/goods/goods_view.php?goodsNo=1000035578</x:v>
      </x:c>
      <x:c r="S8" s="20" t="str">
        <x:v>세 대 모두 24V·100mm·5V 옵션. 내장 리미트만 사용</x:v>
      </x:c>
      <x:c r="T8" s="20" t="str">
        <x:v>2026-09-17</x:v>
      </x:c>
    </x:row>
    <x:row r="9" ht="44" customHeight="1">
      <x:c r="A9" s="4" t="str">
        <x:v>OPTION</x:v>
      </x:c>
      <x:c r="B9" s="4" t="str">
        <x:v>M01S</x:v>
      </x:c>
      <x:c r="C9" s="4" t="str">
        <x:v>구동</x:v>
      </x:c>
      <x:c r="D9" s="20" t="str">
        <x:v>예비 액추에이터</x:v>
      </x:c>
      <x:c r="E9" s="20" t="str">
        <x:v>M01과 완전 동일 옵션</x:v>
      </x:c>
      <x:c r="F9" s="16" t="n">
        <x:v>1</x:v>
      </x:c>
      <x:c r="G9" s="16" t="n">
        <x:v>1</x:v>
      </x:c>
      <x:c r="H9" s="4" t="str">
        <x:v>EA</x:v>
      </x:c>
      <x:c r="I9" s="4" t="str">
        <x:v>모터뱅크</x:v>
      </x:c>
      <x:c r="J9" s="4" t="str">
        <x:v>1000035578 / 24V·100mm·5V</x:v>
      </x:c>
      <x:c r="K9" s="18" t="n">
        <x:v>126500</x:v>
      </x:c>
      <x:c r="L9" s="18" t="n">
        <x:f>G9*K9</x:f>
        <x:v>126500</x:v>
      </x:c>
      <x:c r="M9" s="20" t="str">
        <x:v>2026-09-17 상세페이지 VAT포함</x:v>
      </x:c>
      <x:c r="N9" s="20" t="str">
        <x:v>주문제작 7~14일</x:v>
      </x:c>
      <x:c r="O9" s="20" t="str">
        <x:v>OPTION_APPROVAL</x:v>
      </x:c>
      <x:c r="P9" s="20" t="str">
        <x:v>대체 금지</x:v>
      </x:c>
      <x:c r="Q9" s="20" t="str">
        <x:v>기본안 제외</x:v>
      </x:c>
      <x:c r="R9" s="20" t="str">
        <x:v>https://www.motorbank.kr/goods/goods_view.php?goodsNo=1000035578</x:v>
      </x:c>
      <x:c r="S9" s="20" t="str">
        <x:v>산단 승인·예산 여유가 있을 때만 추가</x:v>
      </x:c>
      <x:c r="T9" s="20" t="str">
        <x:v>2026-09-17</x:v>
      </x:c>
    </x:row>
    <x:row r="10" ht="44" customHeight="1">
      <x:c r="A10" s="4" t="str">
        <x:v>BASE</x:v>
      </x:c>
      <x:c r="B10" s="4" t="str">
        <x:v>M02</x:v>
      </x:c>
      <x:c r="C10" s="4" t="str">
        <x:v>구동</x:v>
      </x:c>
      <x:c r="D10" s="20" t="str">
        <x:v>하부 피벗 브래킷</x:v>
      </x:c>
      <x:c r="E10" s="20" t="str">
        <x:v>LMB-10, W26/내폭20/L56/H44/핀H36/홀피치36/t3/Ø6.2</x:v>
      </x:c>
      <x:c r="F10" s="16" t="n">
        <x:v>3</x:v>
      </x:c>
      <x:c r="G10" s="16" t="n">
        <x:v>3</x:v>
      </x:c>
      <x:c r="H10" s="4" t="str">
        <x:v>SET</x:v>
      </x:c>
      <x:c r="I10" s="4" t="str">
        <x:v>모터뱅크</x:v>
      </x:c>
      <x:c r="J10" s="4" t="str">
        <x:v>1000007655 / LMB-10</x:v>
      </x:c>
      <x:c r="K10" s="18" t="n">
        <x:v>4400</x:v>
      </x:c>
      <x:c r="L10" s="18" t="n">
        <x:f>G10*K10</x:f>
        <x:v>13200</x:v>
      </x:c>
      <x:c r="M10" s="20" t="str">
        <x:v>2026-09-17 상세페이지 VAT포함</x:v>
      </x:c>
      <x:c r="N10" s="20" t="str">
        <x:v>결제 직전 확인</x:v>
      </x:c>
      <x:c r="O10" s="20" t="str">
        <x:v>ORDER_EXACT_ITEM</x:v>
      </x:c>
      <x:c r="P10" s="20" t="str">
        <x:v>대체 금지</x:v>
      </x:c>
      <x:c r="Q10" s="20" t="str">
        <x:v>공개도면/CAD 반영</x:v>
      </x:c>
      <x:c r="R10" s="20" t="str">
        <x:v>https://www.motorbank.kr/goods/goods_view.php?goodsNo=1000007655</x:v>
      </x:c>
      <x:c r="S10" s="20" t="str">
        <x:v>상세사진의 브래킷·핀·R클립 구성 수령 시 대조</x:v>
      </x:c>
      <x:c r="T10" s="20" t="str">
        <x:v>2026-09-17</x:v>
      </x:c>
    </x:row>
    <x:row r="11" ht="44" customHeight="1">
      <x:c r="A11" s="4" t="str">
        <x:v>BASE</x:v>
      </x:c>
      <x:c r="B11" s="4" t="str">
        <x:v>M03</x:v>
      </x:c>
      <x:c r="C11" s="4" t="str">
        <x:v>구동</x:v>
      </x:c>
      <x:c r="D11" s="20" t="str">
        <x:v>상부 로드엔드</x:v>
      </x:c>
      <x:c r="E11" s="20" t="str">
        <x:v>TRUSCO PHS6, M6 female, bore6, angle13°, total width20, center30, height40, 2개/팩</x:v>
      </x:c>
      <x:c r="F11" s="16" t="n">
        <x:v>4</x:v>
      </x:c>
      <x:c r="G11" s="16" t="n">
        <x:v>2</x:v>
      </x:c>
      <x:c r="H11" s="4" t="str">
        <x:v>PK_2</x:v>
      </x:c>
      <x:c r="I11" s="4" t="str">
        <x:v>한국미스미</x:v>
      </x:c>
      <x:c r="J11" s="4" t="str">
        <x:v>280-7599 / PHS6</x:v>
      </x:c>
      <x:c r="K11" s="18" t="n">
        <x:v>14368</x:v>
      </x:c>
      <x:c r="L11" s="18" t="n">
        <x:f>G11*K11</x:f>
        <x:v>28736</x:v>
      </x:c>
      <x:c r="M11" s="20" t="str">
        <x:v>2026-09-17 VAT포함 판매가</x:v>
      </x:c>
      <x:c r="N11" s="20" t="str">
        <x:v>1일 출하 표시</x:v>
      </x:c>
      <x:c r="O11" s="20" t="str">
        <x:v>ORDER_EXACT_ITEM</x:v>
      </x:c>
      <x:c r="P11" s="20" t="str">
        <x:v>대체 금지</x:v>
      </x:c>
      <x:c r="Q11" s="20" t="str">
        <x:v>보수외곽 27자세 PASS</x:v>
      </x:c>
      <x:c r="R11" s="20" t="str">
        <x:v>https://kr.misumi-ec.com/vona2/detail/221005504380/?HissuCode=PHS6</x:v>
      </x:c>
      <x:c r="S11" s="20" t="str">
        <x:v>3개 사용+1개 예비. 2팩 주문</x:v>
      </x:c>
      <x:c r="T11" s="20" t="str">
        <x:v>2026-09-17</x:v>
      </x:c>
    </x:row>
    <x:row r="12" ht="44" customHeight="1">
      <x:c r="A12" s="4" t="str">
        <x:v>BASE</x:v>
      </x:c>
      <x:c r="B12" s="4" t="str">
        <x:v>C01</x:v>
      </x:c>
      <x:c r="C12" s="4" t="str">
        <x:v>가공</x:v>
      </x:c>
      <x:c r="D12" s="20" t="str">
        <x:v>A1 하부 어댑터</x:v>
      </x:c>
      <x:c r="E12" s="20" t="str">
        <x:v>A6061-T6, 120×70×8 mm, A1 Rev E 홀배치</x:v>
      </x:c>
      <x:c r="F12" s="16" t="n">
        <x:v>1</x:v>
      </x:c>
      <x:c r="G12" s="16" t="n">
        <x:v>1</x:v>
      </x:c>
      <x:c r="H12" s="4" t="str">
        <x:v>EA</x:v>
      </x:c>
      <x:c r="I12" s="4" t="str">
        <x:v>한국미스미</x:v>
      </x:c>
      <x:c r="J12" s="4" t="str">
        <x:v>A1_LMB_RADIAL_ADAPTER_REVE_120x70x8</x:v>
      </x:c>
      <x:c r="K12" s="18" t="n">
        <x:v>50000</x:v>
      </x:c>
      <x:c r="L12" s="18" t="n">
        <x:f>G12*K12</x:f>
        <x:v>50000</x:v>
      </x:c>
      <x:c r="M12" s="20" t="str">
        <x:v>meviy 계획가/STEP 견적 필요</x:v>
      </x:c>
      <x:c r="N12" s="20" t="str">
        <x:v>견적 후 약 5~10영업일</x:v>
      </x:c>
      <x:c r="O12" s="20" t="str">
        <x:v>QUOTE_BEFORE_ORDER</x:v>
      </x:c>
      <x:c r="P12" s="20" t="str">
        <x:v>도면 동등 가공 허용</x:v>
      </x:c>
      <x:c r="Q12" s="20" t="str">
        <x:v>Rev E 형상 PASS</x:v>
      </x:c>
      <x:c r="R12" s="20" t="str">
        <x:v>https://meviy.misumi-ec.com/ko-kr/</x:v>
      </x:c>
      <x:c r="S12" s="20" t="str">
        <x:v>공급처 인터페이스 STEP로 견적. LMB M8 탭 2개 포함</x:v>
      </x:c>
      <x:c r="T12" s="20" t="str">
        <x:v>2026-09-17</x:v>
      </x:c>
    </x:row>
    <x:row r="13" ht="44" customHeight="1">
      <x:c r="A13" s="4" t="str">
        <x:v>BASE</x:v>
      </x:c>
      <x:c r="B13" s="4" t="str">
        <x:v>C02</x:v>
      </x:c>
      <x:c r="C13" s="4" t="str">
        <x:v>가공</x:v>
      </x:c>
      <x:c r="D13" s="20" t="str">
        <x:v>A2 하부 어댑터</x:v>
      </x:c>
      <x:c r="E13" s="20" t="str">
        <x:v>A6061-T6, 120×70×8 mm, A2 Rev E 홀배치</x:v>
      </x:c>
      <x:c r="F13" s="16" t="n">
        <x:v>1</x:v>
      </x:c>
      <x:c r="G13" s="16" t="n">
        <x:v>1</x:v>
      </x:c>
      <x:c r="H13" s="4" t="str">
        <x:v>EA</x:v>
      </x:c>
      <x:c r="I13" s="4" t="str">
        <x:v>한국미스미</x:v>
      </x:c>
      <x:c r="J13" s="4" t="str">
        <x:v>A2_LMB_RADIAL_ADAPTER_REVE_120x70x8</x:v>
      </x:c>
      <x:c r="K13" s="18" t="n">
        <x:v>50000</x:v>
      </x:c>
      <x:c r="L13" s="18" t="n">
        <x:f>G13*K13</x:f>
        <x:v>50000</x:v>
      </x:c>
      <x:c r="M13" s="20" t="str">
        <x:v>meviy 계획가/STEP 견적 필요</x:v>
      </x:c>
      <x:c r="N13" s="20" t="str">
        <x:v>견적 후 약 5~10영업일</x:v>
      </x:c>
      <x:c r="O13" s="20" t="str">
        <x:v>QUOTE_BEFORE_ORDER</x:v>
      </x:c>
      <x:c r="P13" s="20" t="str">
        <x:v>도면 동등 가공 허용</x:v>
      </x:c>
      <x:c r="Q13" s="20" t="str">
        <x:v>Rev E 형상 PASS</x:v>
      </x:c>
      <x:c r="R13" s="20" t="str">
        <x:v>https://meviy.misumi-ec.com/ko-kr/</x:v>
      </x:c>
      <x:c r="S13" s="20" t="str">
        <x:v>공급처 인터페이스 STEP로 견적. LMB M8 탭 2개 포함</x:v>
      </x:c>
      <x:c r="T13" s="20" t="str">
        <x:v>2026-09-17</x:v>
      </x:c>
    </x:row>
    <x:row r="14" ht="44" customHeight="1">
      <x:c r="A14" s="4" t="str">
        <x:v>BASE</x:v>
      </x:c>
      <x:c r="B14" s="4" t="str">
        <x:v>C03</x:v>
      </x:c>
      <x:c r="C14" s="4" t="str">
        <x:v>가공</x:v>
      </x:c>
      <x:c r="D14" s="20" t="str">
        <x:v>A3 하부 어댑터</x:v>
      </x:c>
      <x:c r="E14" s="20" t="str">
        <x:v>A6061-T6, 120×70×8 mm, A3 Rev E 비대칭 홀배치</x:v>
      </x:c>
      <x:c r="F14" s="16" t="n">
        <x:v>1</x:v>
      </x:c>
      <x:c r="G14" s="16" t="n">
        <x:v>1</x:v>
      </x:c>
      <x:c r="H14" s="4" t="str">
        <x:v>EA</x:v>
      </x:c>
      <x:c r="I14" s="4" t="str">
        <x:v>한국미스미</x:v>
      </x:c>
      <x:c r="J14" s="4" t="str">
        <x:v>A3_LMB_RADIAL_ADAPTER_REVE_120x70x8</x:v>
      </x:c>
      <x:c r="K14" s="18" t="n">
        <x:v>50000</x:v>
      </x:c>
      <x:c r="L14" s="18" t="n">
        <x:f>G14*K14</x:f>
        <x:v>50000</x:v>
      </x:c>
      <x:c r="M14" s="20" t="str">
        <x:v>meviy 계획가/STEP 견적 필요</x:v>
      </x:c>
      <x:c r="N14" s="20" t="str">
        <x:v>견적 후 약 5~10영업일</x:v>
      </x:c>
      <x:c r="O14" s="20" t="str">
        <x:v>QUOTE_BEFORE_ORDER</x:v>
      </x:c>
      <x:c r="P14" s="20" t="str">
        <x:v>도면 동등 가공 허용</x:v>
      </x:c>
      <x:c r="Q14" s="20" t="str">
        <x:v>Rev E 형상 PASS</x:v>
      </x:c>
      <x:c r="R14" s="20" t="str">
        <x:v>https://meviy.misumi-ec.com/ko-kr/</x:v>
      </x:c>
      <x:c r="S14" s="20" t="str">
        <x:v>A3 비대칭 체결 위치 유지. 임의 대칭화 금지</x:v>
      </x:c>
      <x:c r="T14" s="20" t="str">
        <x:v>2026-09-17</x:v>
      </x:c>
    </x:row>
    <x:row r="15" ht="44" customHeight="1">
      <x:c r="A15" s="4" t="str">
        <x:v>BASE</x:v>
      </x:c>
      <x:c r="B15" s="4" t="str">
        <x:v>F01</x:v>
      </x:c>
      <x:c r="C15" s="4" t="str">
        <x:v>체결</x:v>
      </x:c>
      <x:c r="D15" s="20" t="str">
        <x:v>M8×16 육각렌치볼트</x:v>
      </x:c>
      <x:c r="E15" s="20" t="str">
        <x:v>SCM435 10.9, 완전나사, 36개/팩</x:v>
      </x:c>
      <x:c r="F15" s="16" t="n">
        <x:v>22</x:v>
      </x:c>
      <x:c r="G15" s="16" t="n">
        <x:v>1</x:v>
      </x:c>
      <x:c r="H15" s="4" t="str">
        <x:v>PK_36</x:v>
      </x:c>
      <x:c r="I15" s="4" t="str">
        <x:v>나비엠알오</x:v>
      </x:c>
      <x:c r="J15" s="4" t="str">
        <x:v>K53536280</x:v>
      </x:c>
      <x:c r="K15" s="18" t="n">
        <x:v>7579</x:v>
      </x:c>
      <x:c r="L15" s="18" t="n">
        <x:f>G15*K15</x:f>
        <x:v>7579</x:v>
      </x:c>
      <x:c r="M15" s="20" t="str">
        <x:v>VAT포함 화면가</x:v>
      </x:c>
      <x:c r="N15" s="20" t="str">
        <x:v>재고 확인</x:v>
      </x:c>
      <x:c r="O15" s="20" t="str">
        <x:v>ORDER_BASE</x:v>
      </x:c>
      <x:c r="P15" s="20" t="str">
        <x:v>동등 규격 허용</x:v>
      </x:c>
      <x:c r="Q15" s="20" t="str">
        <x:v>수량 대조 PASS</x:v>
      </x:c>
      <x:c r="R15" s="20" t="str">
        <x:v>https://www.navimro.com/p/K53536280/</x:v>
      </x:c>
      <x:c r="S15" s="20" t="str">
        <x:v>4035 브래킷 16+LMB 6</x:v>
      </x:c>
      <x:c r="T15" s="20" t="str">
        <x:v>2026-09-17</x:v>
      </x:c>
    </x:row>
    <x:row r="16" ht="44" customHeight="1">
      <x:c r="A16" s="4" t="str">
        <x:v>BASE</x:v>
      </x:c>
      <x:c r="B16" s="4" t="str">
        <x:v>F02</x:v>
      </x:c>
      <x:c r="C16" s="4" t="str">
        <x:v>체결</x:v>
      </x:c>
      <x:c r="D16" s="20" t="str">
        <x:v>M6×15 육각렌치볼트</x:v>
      </x:c>
      <x:c r="E16" s="20" t="str">
        <x:v>SCM435 10.9, 완전나사, 57개/팩</x:v>
      </x:c>
      <x:c r="F16" s="16" t="n">
        <x:v>16</x:v>
      </x:c>
      <x:c r="G16" s="16" t="n">
        <x:v>1</x:v>
      </x:c>
      <x:c r="H16" s="4" t="str">
        <x:v>PK_57</x:v>
      </x:c>
      <x:c r="I16" s="4" t="str">
        <x:v>나비엠알오</x:v>
      </x:c>
      <x:c r="J16" s="4" t="str">
        <x:v>K53536246</x:v>
      </x:c>
      <x:c r="K16" s="18" t="n">
        <x:v>6039</x:v>
      </x:c>
      <x:c r="L16" s="18" t="n">
        <x:f>G16*K16</x:f>
        <x:v>6039</x:v>
      </x:c>
      <x:c r="M16" s="20" t="str">
        <x:v>VAT포함 화면가</x:v>
      </x:c>
      <x:c r="N16" s="20" t="str">
        <x:v>재고 확인</x:v>
      </x:c>
      <x:c r="O16" s="20" t="str">
        <x:v>ORDER_BASE</x:v>
      </x:c>
      <x:c r="P16" s="20" t="str">
        <x:v>동등 규격 허용</x:v>
      </x:c>
      <x:c r="Q16" s="20" t="str">
        <x:v>수량 대조 PASS</x:v>
      </x:c>
      <x:c r="R16" s="20" t="str">
        <x:v>https://www.navimro.com/p/K53536246/</x:v>
      </x:c>
      <x:c r="S16" s="20" t="str">
        <x:v>상부 DCB3025 브래킷 16. 스토퍼용 수량 제외</x:v>
      </x:c>
      <x:c r="T16" s="20" t="str">
        <x:v>2026-09-17</x:v>
      </x:c>
    </x:row>
    <x:row r="17" ht="44" customHeight="1">
      <x:c r="A17" s="4" t="str">
        <x:v>BASE</x:v>
      </x:c>
      <x:c r="B17" s="4" t="str">
        <x:v>F03</x:v>
      </x:c>
      <x:c r="C17" s="4" t="str">
        <x:v>체결</x:v>
      </x:c>
      <x:c r="D17" s="20" t="str">
        <x:v>M8×20 육각렌치볼트</x:v>
      </x:c>
      <x:c r="E17" s="20" t="str">
        <x:v>SCM435 10.9, 완전나사, 34개/팩</x:v>
      </x:c>
      <x:c r="F17" s="16" t="n">
        <x:v>6</x:v>
      </x:c>
      <x:c r="G17" s="16" t="n">
        <x:v>1</x:v>
      </x:c>
      <x:c r="H17" s="4" t="str">
        <x:v>PK_34</x:v>
      </x:c>
      <x:c r="I17" s="4" t="str">
        <x:v>나비엠알오</x:v>
      </x:c>
      <x:c r="J17" s="4" t="str">
        <x:v>K53536553</x:v>
      </x:c>
      <x:c r="K17" s="18" t="n">
        <x:v>7359</x:v>
      </x:c>
      <x:c r="L17" s="18" t="n">
        <x:f>G17*K17</x:f>
        <x:v>7359</x:v>
      </x:c>
      <x:c r="M17" s="20" t="str">
        <x:v>VAT포함 화면가</x:v>
      </x:c>
      <x:c r="N17" s="20" t="str">
        <x:v>재고 확인</x:v>
      </x:c>
      <x:c r="O17" s="20" t="str">
        <x:v>ORDER_BASE</x:v>
      </x:c>
      <x:c r="P17" s="20" t="str">
        <x:v>동등 규격 허용</x:v>
      </x:c>
      <x:c r="Q17" s="20" t="str">
        <x:v>수량 대조 PASS</x:v>
      </x:c>
      <x:c r="R17" s="20" t="str">
        <x:v>https://www.navimro.com/p/K53536553/</x:v>
      </x:c>
      <x:c r="S17" s="20" t="str">
        <x:v>하부 어댑터-4040, 축당 2개</x:v>
      </x:c>
      <x:c r="T17" s="20" t="str">
        <x:v>2026-09-17</x:v>
      </x:c>
    </x:row>
    <x:row r="18" ht="44" customHeight="1">
      <x:c r="A18" s="4" t="str">
        <x:v>BASE</x:v>
      </x:c>
      <x:c r="B18" s="4" t="str">
        <x:v>F04</x:v>
      </x:c>
      <x:c r="C18" s="4" t="str">
        <x:v>체결</x:v>
      </x:c>
      <x:c r="D18" s="20" t="str">
        <x:v>M8 평와셔</x:v>
      </x:c>
      <x:c r="E18" s="20" t="str">
        <x:v>SUS304, 8.5×17×1, 100개/팩</x:v>
      </x:c>
      <x:c r="F18" s="16" t="n">
        <x:v>6</x:v>
      </x:c>
      <x:c r="G18" s="16" t="n">
        <x:v>1</x:v>
      </x:c>
      <x:c r="H18" s="4" t="str">
        <x:v>PK_100</x:v>
      </x:c>
      <x:c r="I18" s="4" t="str">
        <x:v>나비엠알오</x:v>
      </x:c>
      <x:c r="J18" s="4" t="str">
        <x:v>K06130485</x:v>
      </x:c>
      <x:c r="K18" s="18" t="n">
        <x:v>5049</x:v>
      </x:c>
      <x:c r="L18" s="18" t="n">
        <x:f>G18*K18</x:f>
        <x:v>5049</x:v>
      </x:c>
      <x:c r="M18" s="20" t="str">
        <x:v>VAT포함 화면가</x:v>
      </x:c>
      <x:c r="N18" s="20" t="str">
        <x:v>재고 확인</x:v>
      </x:c>
      <x:c r="O18" s="20" t="str">
        <x:v>ORDER_BASE</x:v>
      </x:c>
      <x:c r="P18" s="20" t="str">
        <x:v>동등 규격 허용</x:v>
      </x:c>
      <x:c r="Q18" s="20" t="str">
        <x:v>수량 대조 PASS</x:v>
      </x:c>
      <x:c r="R18" s="20" t="str">
        <x:v>https://www.navimro.com/p/K06130485/</x:v>
      </x:c>
      <x:c r="S18" s="20" t="str">
        <x:v>LMB 체결부</x:v>
      </x:c>
      <x:c r="T18" s="20" t="str">
        <x:v>2026-09-17</x:v>
      </x:c>
    </x:row>
    <x:row r="19" ht="44" customHeight="1">
      <x:c r="A19" s="4" t="str">
        <x:v>BASE</x:v>
      </x:c>
      <x:c r="B19" s="4" t="str">
        <x:v>F05</x:v>
      </x:c>
      <x:c r="C19" s="4" t="str">
        <x:v>체결</x:v>
      </x:c>
      <x:c r="D19" s="20" t="str">
        <x:v>M8 스프링와셔</x:v>
      </x:c>
      <x:c r="E19" s="20" t="str">
        <x:v>SUS304, 8.4×14×2</x:v>
      </x:c>
      <x:c r="F19" s="16" t="n">
        <x:v>6</x:v>
      </x:c>
      <x:c r="G19" s="16" t="n">
        <x:v>6</x:v>
      </x:c>
      <x:c r="H19" s="4" t="str">
        <x:v>EA</x:v>
      </x:c>
      <x:c r="I19" s="4" t="str">
        <x:v>나비엠알오</x:v>
      </x:c>
      <x:c r="J19" s="4" t="str">
        <x:v>K15785747</x:v>
      </x:c>
      <x:c r="K19" s="18" t="n">
        <x:v>440</x:v>
      </x:c>
      <x:c r="L19" s="18" t="n">
        <x:f>G19*K19</x:f>
        <x:v>2640</x:v>
      </x:c>
      <x:c r="M19" s="20" t="str">
        <x:v>VAT포함 화면가</x:v>
      </x:c>
      <x:c r="N19" s="20" t="str">
        <x:v>재고 확인</x:v>
      </x:c>
      <x:c r="O19" s="20" t="str">
        <x:v>ORDER_BASE</x:v>
      </x:c>
      <x:c r="P19" s="20" t="str">
        <x:v>동등 규격 허용</x:v>
      </x:c>
      <x:c r="Q19" s="20" t="str">
        <x:v>수량 대조 PASS</x:v>
      </x:c>
      <x:c r="R19" s="20" t="str">
        <x:v>https://www.navimro.com/p/K15785747/</x:v>
      </x:c>
      <x:c r="S19" s="20" t="str">
        <x:v>LMB 축당 2개</x:v>
      </x:c>
      <x:c r="T19" s="20" t="str">
        <x:v>2026-09-17</x:v>
      </x:c>
    </x:row>
    <x:row r="20" ht="44" customHeight="1">
      <x:c r="A20" s="4" t="str">
        <x:v>BASE</x:v>
      </x:c>
      <x:c r="B20" s="4" t="str">
        <x:v>F06</x:v>
      </x:c>
      <x:c r="C20" s="4" t="str">
        <x:v>체결</x:v>
      </x:c>
      <x:c r="D20" s="20" t="str">
        <x:v>40시리즈 M8 스프링너트</x:v>
      </x:c>
      <x:c r="E20" s="20" t="str">
        <x:v>SP408, 100개/팩</x:v>
      </x:c>
      <x:c r="F20" s="16" t="n">
        <x:v>22</x:v>
      </x:c>
      <x:c r="G20" s="16" t="n">
        <x:v>1</x:v>
      </x:c>
      <x:c r="H20" s="4" t="str">
        <x:v>PK_100</x:v>
      </x:c>
      <x:c r="I20" s="4" t="str">
        <x:v>나비엠알오</x:v>
      </x:c>
      <x:c r="J20" s="4" t="str">
        <x:v>K14671419</x:v>
      </x:c>
      <x:c r="K20" s="18" t="n">
        <x:v>25289</x:v>
      </x:c>
      <x:c r="L20" s="18" t="n">
        <x:f>G20*K20</x:f>
        <x:v>25289</x:v>
      </x:c>
      <x:c r="M20" s="20" t="str">
        <x:v>VAT포함 화면가</x:v>
      </x:c>
      <x:c r="N20" s="20" t="str">
        <x:v>재고 확인</x:v>
      </x:c>
      <x:c r="O20" s="20" t="str">
        <x:v>ORDER_BASE</x:v>
      </x:c>
      <x:c r="P20" s="20" t="str">
        <x:v>동등 규격 허용</x:v>
      </x:c>
      <x:c r="Q20" s="20" t="str">
        <x:v>수량 대조 PASS</x:v>
      </x:c>
      <x:c r="R20" s="20" t="str">
        <x:v>https://www.navimro.com/p/K14671419/</x:v>
      </x:c>
      <x:c r="S20" s="20" t="str">
        <x:v>4035 16+어댑터 6. 스토퍼 수량 제외</x:v>
      </x:c>
      <x:c r="T20" s="20" t="str">
        <x:v>2026-09-17</x:v>
      </x:c>
    </x:row>
    <x:row r="21" ht="44" customHeight="1">
      <x:c r="A21" s="4" t="str">
        <x:v>BASE</x:v>
      </x:c>
      <x:c r="B21" s="4" t="str">
        <x:v>F07</x:v>
      </x:c>
      <x:c r="C21" s="4" t="str">
        <x:v>체결</x:v>
      </x:c>
      <x:c r="D21" s="20" t="str">
        <x:v>30시리즈 M6 스프링너트</x:v>
      </x:c>
      <x:c r="E21" s="20" t="str">
        <x:v>SP306, 100개/팩</x:v>
      </x:c>
      <x:c r="F21" s="16" t="n">
        <x:v>20</x:v>
      </x:c>
      <x:c r="G21" s="16" t="n">
        <x:v>1</x:v>
      </x:c>
      <x:c r="H21" s="4" t="str">
        <x:v>PK_100</x:v>
      </x:c>
      <x:c r="I21" s="4" t="str">
        <x:v>나비엠알오</x:v>
      </x:c>
      <x:c r="J21" s="4" t="str">
        <x:v>K14671215</x:v>
      </x:c>
      <x:c r="K21" s="18" t="n">
        <x:v>25289</x:v>
      </x:c>
      <x:c r="L21" s="18" t="n">
        <x:f>G21*K21</x:f>
        <x:v>25289</x:v>
      </x:c>
      <x:c r="M21" s="20" t="str">
        <x:v>VAT포함 화면가</x:v>
      </x:c>
      <x:c r="N21" s="20" t="str">
        <x:v>재고 확인</x:v>
      </x:c>
      <x:c r="O21" s="20" t="str">
        <x:v>ORDER_BASE</x:v>
      </x:c>
      <x:c r="P21" s="20" t="str">
        <x:v>동등 규격 허용</x:v>
      </x:c>
      <x:c r="Q21" s="20" t="str">
        <x:v>수량 대조 PASS</x:v>
      </x:c>
      <x:c r="R21" s="20" t="str">
        <x:v>https://www.navimro.com/p/K14671215/</x:v>
      </x:c>
      <x:c r="S21" s="20" t="str">
        <x:v>DCB3025 16+PHS6 스터드 3+예비 1</x:v>
      </x:c>
      <x:c r="T21" s="20" t="str">
        <x:v>2026-09-17</x:v>
      </x:c>
    </x:row>
    <x:row r="22" ht="44" customHeight="1">
      <x:c r="A22" s="4" t="str">
        <x:v>BASE</x:v>
      </x:c>
      <x:c r="B22" s="4" t="str">
        <x:v>F08A</x:v>
      </x:c>
      <x:c r="C22" s="4" t="str">
        <x:v>체결</x:v>
      </x:c>
      <x:c r="D22" s="20" t="str">
        <x:v>M6×50 상부 피벗 볼트</x:v>
      </x:c>
      <x:c r="E22" s="20" t="str">
        <x:v>부분나사, 10개/팩</x:v>
      </x:c>
      <x:c r="F22" s="16" t="n">
        <x:v>3</x:v>
      </x:c>
      <x:c r="G22" s="16" t="n">
        <x:v>1</x:v>
      </x:c>
      <x:c r="H22" s="4" t="str">
        <x:v>PK_10</x:v>
      </x:c>
      <x:c r="I22" s="4" t="str">
        <x:v>나비엠알오</x:v>
      </x:c>
      <x:c r="J22" s="4" t="str">
        <x:v>K53672105</x:v>
      </x:c>
      <x:c r="K22" s="18" t="n">
        <x:v>3410</x:v>
      </x:c>
      <x:c r="L22" s="18" t="n">
        <x:f>G22*K22</x:f>
        <x:v>3410</x:v>
      </x:c>
      <x:c r="M22" s="20" t="str">
        <x:v>화면가</x:v>
      </x:c>
      <x:c r="N22" s="20" t="str">
        <x:v>재고 확인</x:v>
      </x:c>
      <x:c r="O22" s="20" t="str">
        <x:v>ORDER_BOTH_LENGTHS</x:v>
      </x:c>
      <x:c r="P22" s="20" t="str">
        <x:v>동등 규격 허용</x:v>
      </x:c>
      <x:c r="Q22" s="20" t="str">
        <x:v>실물 적층 확인 필요</x:v>
      </x:c>
      <x:c r="R22" s="20" t="str">
        <x:v>https://www.navimro.com/p/K53672105/</x:v>
      </x:c>
      <x:c r="S22" s="20" t="str">
        <x:v>M6×55와 함께 주문 후 실측 적합 길이 선택</x:v>
      </x:c>
      <x:c r="T22" s="20" t="str">
        <x:v>2026-09-17</x:v>
      </x:c>
    </x:row>
    <x:row r="23" ht="44" customHeight="1">
      <x:c r="A23" s="4" t="str">
        <x:v>BASE</x:v>
      </x:c>
      <x:c r="B23" s="4" t="str">
        <x:v>F08B</x:v>
      </x:c>
      <x:c r="C23" s="4" t="str">
        <x:v>체결</x:v>
      </x:c>
      <x:c r="D23" s="20" t="str">
        <x:v>M6×55 상부 피벗 볼트</x:v>
      </x:c>
      <x:c r="E23" s="20" t="str">
        <x:v>SUS304, 완전나사, 10개/팩</x:v>
      </x:c>
      <x:c r="F23" s="16" t="n">
        <x:v>3</x:v>
      </x:c>
      <x:c r="G23" s="16" t="n">
        <x:v>1</x:v>
      </x:c>
      <x:c r="H23" s="4" t="str">
        <x:v>PK_10</x:v>
      </x:c>
      <x:c r="I23" s="4" t="str">
        <x:v>나비엠알오</x:v>
      </x:c>
      <x:c r="J23" s="4" t="str">
        <x:v>K02037018</x:v>
      </x:c>
      <x:c r="K23" s="18" t="n">
        <x:v>3289</x:v>
      </x:c>
      <x:c r="L23" s="18" t="n">
        <x:f>G23*K23</x:f>
        <x:v>3289</x:v>
      </x:c>
      <x:c r="M23" s="20" t="str">
        <x:v>2026-09-17 검색 VAT포함가</x:v>
      </x:c>
      <x:c r="N23" s="20" t="str">
        <x:v>약 2영업일 표시</x:v>
      </x:c>
      <x:c r="O23" s="20" t="str">
        <x:v>ORDER_BOTH_LENGTHS</x:v>
      </x:c>
      <x:c r="P23" s="20" t="str">
        <x:v>동등 규격 허용</x:v>
      </x:c>
      <x:c r="Q23" s="20" t="str">
        <x:v>실물 적층 확인 필요</x:v>
      </x:c>
      <x:c r="R23" s="20" t="str">
        <x:v>https://www.navimro.com/g/171431/</x:v>
      </x:c>
      <x:c r="S23" s="20" t="str">
        <x:v>M6×50와 함께 주문. 긴 경우 억지 체결 금지</x:v>
      </x:c>
      <x:c r="T23" s="20" t="str">
        <x:v>2026-09-17</x:v>
      </x:c>
    </x:row>
    <x:row r="24" ht="44" customHeight="1">
      <x:c r="A24" s="4" t="str">
        <x:v>BASE</x:v>
      </x:c>
      <x:c r="B24" s="4" t="str">
        <x:v>F09</x:v>
      </x:c>
      <x:c r="C24" s="4" t="str">
        <x:v>체결</x:v>
      </x:c>
      <x:c r="D24" s="20" t="str">
        <x:v>0.5 mm 심링</x:v>
      </x:c>
      <x:c r="E24" s="20" t="str">
        <x:v>CIMR6-12-0.5, ID6/OD12/t0.5</x:v>
      </x:c>
      <x:c r="F24" s="16" t="n">
        <x:v>9</x:v>
      </x:c>
      <x:c r="G24" s="16" t="n">
        <x:v>12</x:v>
      </x:c>
      <x:c r="H24" s="4" t="str">
        <x:v>EA</x:v>
      </x:c>
      <x:c r="I24" s="4" t="str">
        <x:v>한국미스미</x:v>
      </x:c>
      <x:c r="J24" s="4" t="str">
        <x:v>CIMR6-12-0.5</x:v>
      </x:c>
      <x:c r="K24" s="18" t="n">
        <x:v>1000</x:v>
      </x:c>
      <x:c r="L24" s="18" t="n">
        <x:f>G24*K24</x:f>
        <x:v>12000</x:v>
      </x:c>
      <x:c r="M24" s="20" t="str">
        <x:v>계획가/결제화면 재확인</x:v>
      </x:c>
      <x:c r="N24" s="20" t="str">
        <x:v>3일 수준 예상</x:v>
      </x:c>
      <x:c r="O24" s="20" t="str">
        <x:v>CHECKOUT_PRICE</x:v>
      </x:c>
      <x:c r="P24" s="20" t="str">
        <x:v>동등 치수 허용</x:v>
      </x:c>
      <x:c r="Q24" s="20" t="str">
        <x:v>1.5 mm/축 CAD PASS</x:v>
      </x:c>
      <x:c r="R24" s="20" t="str">
        <x:v>https://kr.misumi-ec.com/vona2/detail/110302677870/?HissuCode=CIMR6-12-0.5</x:v>
      </x:c>
      <x:c r="S24" s="20" t="str">
        <x:v>축당 3장=1.5 mm, 총9장 사용+3장 예비</x:v>
      </x:c>
      <x:c r="T24" s="20" t="str">
        <x:v>2026-09-17</x:v>
      </x:c>
    </x:row>
    <x:row r="25" ht="44" customHeight="1">
      <x:c r="A25" s="4" t="str">
        <x:v>BASE</x:v>
      </x:c>
      <x:c r="B25" s="4" t="str">
        <x:v>F10</x:v>
      </x:c>
      <x:c r="C25" s="4" t="str">
        <x:v>체결</x:v>
      </x:c>
      <x:c r="D25" s="20" t="str">
        <x:v>M6 나일론 인서트 너트</x:v>
      </x:c>
      <x:c r="E25" s="20" t="str">
        <x:v>SUS304, 100개/팩</x:v>
      </x:c>
      <x:c r="F25" s="16" t="n">
        <x:v>3</x:v>
      </x:c>
      <x:c r="G25" s="16" t="n">
        <x:v>1</x:v>
      </x:c>
      <x:c r="H25" s="4" t="str">
        <x:v>PK_100</x:v>
      </x:c>
      <x:c r="I25" s="4" t="str">
        <x:v>나비엠알오</x:v>
      </x:c>
      <x:c r="J25" s="4" t="str">
        <x:v>K14536539</x:v>
      </x:c>
      <x:c r="K25" s="18" t="n">
        <x:v>8789</x:v>
      </x:c>
      <x:c r="L25" s="18" t="n">
        <x:f>G25*K25</x:f>
        <x:v>8789</x:v>
      </x:c>
      <x:c r="M25" s="20" t="str">
        <x:v>VAT포함 화면가</x:v>
      </x:c>
      <x:c r="N25" s="20" t="str">
        <x:v>재고 확인</x:v>
      </x:c>
      <x:c r="O25" s="20" t="str">
        <x:v>ORDER_BASE</x:v>
      </x:c>
      <x:c r="P25" s="20" t="str">
        <x:v>동등 규격 허용</x:v>
      </x:c>
      <x:c r="Q25" s="20" t="str">
        <x:v>조립품</x:v>
      </x:c>
      <x:c r="R25" s="20" t="str">
        <x:v>https://www.navimro.com/p/K14536539/</x:v>
      </x:c>
      <x:c r="S25" s="20" t="str">
        <x:v>상부 피벗 볼트 풀림방지</x:v>
      </x:c>
      <x:c r="T25" s="20" t="str">
        <x:v>2026-09-17</x:v>
      </x:c>
    </x:row>
    <x:row r="26" ht="44" customHeight="1">
      <x:c r="A26" s="4" t="str">
        <x:v>BASE</x:v>
      </x:c>
      <x:c r="B26" s="4" t="str">
        <x:v>F11</x:v>
      </x:c>
      <x:c r="C26" s="4" t="str">
        <x:v>체결</x:v>
      </x:c>
      <x:c r="D26" s="20" t="str">
        <x:v>M6×20 무두렌치 스터드</x:v>
      </x:c>
      <x:c r="E26" s="20" t="str">
        <x:v>6×20, 10개/팩</x:v>
      </x:c>
      <x:c r="F26" s="16" t="n">
        <x:v>4</x:v>
      </x:c>
      <x:c r="G26" s="16" t="n">
        <x:v>1</x:v>
      </x:c>
      <x:c r="H26" s="4" t="str">
        <x:v>PK_10</x:v>
      </x:c>
      <x:c r="I26" s="4" t="str">
        <x:v>나비엠알오</x:v>
      </x:c>
      <x:c r="J26" s="4" t="str">
        <x:v>K54185516</x:v>
      </x:c>
      <x:c r="K26" s="18" t="n">
        <x:v>3509</x:v>
      </x:c>
      <x:c r="L26" s="18" t="n">
        <x:f>G26*K26</x:f>
        <x:v>3509</x:v>
      </x:c>
      <x:c r="M26" s="20" t="str">
        <x:v>2026-09-17 검색 화면가/결제 재확인</x:v>
      </x:c>
      <x:c r="N26" s="20" t="str">
        <x:v>약 7~9영업일</x:v>
      </x:c>
      <x:c r="O26" s="20" t="str">
        <x:v>ORDER_STUD_SOLUTION</x:v>
      </x:c>
      <x:c r="P26" s="20" t="str">
        <x:v>동등 규격 허용</x:v>
      </x:c>
      <x:c r="Q26" s="20" t="str">
        <x:v>무가공 조립안</x:v>
      </x:c>
      <x:c r="R26" s="20" t="str">
        <x:v>https://www.navimro.com/g/1859033/</x:v>
      </x:c>
      <x:c r="S26" s="20" t="str">
        <x:v>PHS6-SP306 연결 3세트+예비1. 1000개입 TB306은 제외</x:v>
      </x:c>
      <x:c r="T26" s="20" t="str">
        <x:v>2026-09-17</x:v>
      </x:c>
    </x:row>
    <x:row r="27" ht="44" customHeight="1">
      <x:c r="A27" s="4" t="str">
        <x:v>BASE</x:v>
      </x:c>
      <x:c r="B27" s="4" t="str">
        <x:v>F12</x:v>
      </x:c>
      <x:c r="C27" s="4" t="str">
        <x:v>체결</x:v>
      </x:c>
      <x:c r="D27" s="20" t="str">
        <x:v>M6 잼너트</x:v>
      </x:c>
      <x:c r="E27" s="20" t="str">
        <x:v>SCM435 니켈, 100개/팩</x:v>
      </x:c>
      <x:c r="F27" s="16" t="n">
        <x:v>8</x:v>
      </x:c>
      <x:c r="G27" s="16" t="n">
        <x:v>1</x:v>
      </x:c>
      <x:c r="H27" s="4" t="str">
        <x:v>PK_100</x:v>
      </x:c>
      <x:c r="I27" s="4" t="str">
        <x:v>나비엠알오</x:v>
      </x:c>
      <x:c r="J27" s="4" t="str">
        <x:v>K14532615</x:v>
      </x:c>
      <x:c r="K27" s="18" t="n">
        <x:v>4169</x:v>
      </x:c>
      <x:c r="L27" s="18" t="n">
        <x:f>G27*K27</x:f>
        <x:v>4169</x:v>
      </x:c>
      <x:c r="M27" s="20" t="str">
        <x:v>VAT포함 화면가</x:v>
      </x:c>
      <x:c r="N27" s="20" t="str">
        <x:v>재고 확인</x:v>
      </x:c>
      <x:c r="O27" s="20" t="str">
        <x:v>ORDER_BASE</x:v>
      </x:c>
      <x:c r="P27" s="20" t="str">
        <x:v>동등 규격 허용</x:v>
      </x:c>
      <x:c r="Q27" s="20" t="str">
        <x:v>무가공 조립안</x:v>
      </x:c>
      <x:c r="R27" s="20" t="str">
        <x:v>https://www.navimro.com/p/K14532615/</x:v>
      </x:c>
      <x:c r="S27" s="20" t="str">
        <x:v>스터드 4세트×양단 잠금 2개</x:v>
      </x:c>
      <x:c r="T27" s="20" t="str">
        <x:v>2026-09-17</x:v>
      </x:c>
    </x:row>
    <x:row r="28" ht="44" customHeight="1">
      <x:c r="A28" s="4" t="str">
        <x:v>BASE</x:v>
      </x:c>
      <x:c r="B28" s="4" t="str">
        <x:v>F17</x:v>
      </x:c>
      <x:c r="C28" s="4" t="str">
        <x:v>체결</x:v>
      </x:c>
      <x:c r="D28" s="20" t="str">
        <x:v>중강도 나사고정제</x:v>
      </x:c>
      <x:c r="E28" s="20" t="str">
        <x:v>LOCTITE 243, 10 ml</x:v>
      </x:c>
      <x:c r="F28" s="16" t="n">
        <x:v>1</x:v>
      </x:c>
      <x:c r="G28" s="16" t="n">
        <x:v>1</x:v>
      </x:c>
      <x:c r="H28" s="4" t="str">
        <x:v>EA</x:v>
      </x:c>
      <x:c r="I28" s="4" t="str">
        <x:v>나비엠알오</x:v>
      </x:c>
      <x:c r="J28" s="4" t="str">
        <x:v>K64647607</x:v>
      </x:c>
      <x:c r="K28" s="18" t="n">
        <x:v>9889</x:v>
      </x:c>
      <x:c r="L28" s="18" t="n">
        <x:f>G28*K28</x:f>
        <x:v>9889</x:v>
      </x:c>
      <x:c r="M28" s="20" t="str">
        <x:v>VAT포함 화면가</x:v>
      </x:c>
      <x:c r="N28" s="20" t="str">
        <x:v>재고 확인</x:v>
      </x:c>
      <x:c r="O28" s="20" t="str">
        <x:v>ORDER_BASE</x:v>
      </x:c>
      <x:c r="P28" s="20" t="str">
        <x:v>동등품 허용</x:v>
      </x:c>
      <x:c r="Q28" s="20" t="str">
        <x:v>조립용</x:v>
      </x:c>
      <x:c r="R28" s="20" t="str">
        <x:v>https://www.navimro.com/p/K64647607/</x:v>
      </x:c>
      <x:c r="S28" s="20" t="str">
        <x:v>비조정 체결부에만 소량 사용</x:v>
      </x:c>
      <x:c r="T28" s="20" t="str">
        <x:v>2026-09-17</x:v>
      </x:c>
    </x:row>
    <x:row r="29" ht="44" customHeight="1">
      <x:c r="A29" s="4" t="str">
        <x:v>BASE</x:v>
      </x:c>
      <x:c r="B29" s="4" t="str">
        <x:v>F18</x:v>
      </x:c>
      <x:c r="C29" s="4" t="str">
        <x:v>체결</x:v>
      </x:c>
      <x:c r="D29" s="20" t="str">
        <x:v>M4×25 더블샘스볼트</x:v>
      </x:c>
      <x:c r="E29" s="20" t="str">
        <x:v>니켈도금, 평와셔+스프링와셔, 100개/팩</x:v>
      </x:c>
      <x:c r="F29" s="16" t="n">
        <x:v>20</x:v>
      </x:c>
      <x:c r="G29" s="16" t="n">
        <x:v>1</x:v>
      </x:c>
      <x:c r="H29" s="4" t="str">
        <x:v>PK_100</x:v>
      </x:c>
      <x:c r="I29" s="4" t="str">
        <x:v>나비엠알오</x:v>
      </x:c>
      <x:c r="J29" s="4" t="str">
        <x:v>K14364804</x:v>
      </x:c>
      <x:c r="K29" s="18" t="n">
        <x:v>18139</x:v>
      </x:c>
      <x:c r="L29" s="18" t="n">
        <x:f>G29*K29</x:f>
        <x:v>18139</x:v>
      </x:c>
      <x:c r="M29" s="20" t="str">
        <x:v>VAT포함 화면가</x:v>
      </x:c>
      <x:c r="N29" s="20" t="str">
        <x:v>재고 확인</x:v>
      </x:c>
      <x:c r="O29" s="20" t="str">
        <x:v>ORDER_BASE</x:v>
      </x:c>
      <x:c r="P29" s="20" t="str">
        <x:v>동등 규격 허용</x:v>
      </x:c>
      <x:c r="Q29" s="20" t="str">
        <x:v>전장함 장착용</x:v>
      </x:c>
      <x:c r="R29" s="20" t="str">
        <x:v>https://www.navimro.com/p/K14364804/</x:v>
      </x:c>
      <x:c r="S29" s="20" t="str">
        <x:v>PSU/DIN레일/보드 장착. 길면 짧은 동등품 사용</x:v>
      </x:c>
      <x:c r="T29" s="20" t="str">
        <x:v>2026-09-17</x:v>
      </x:c>
    </x:row>
    <x:row r="30" ht="44" customHeight="1">
      <x:c r="A30" s="4" t="str">
        <x:v>BASE</x:v>
      </x:c>
      <x:c r="B30" s="4" t="str">
        <x:v>F19</x:v>
      </x:c>
      <x:c r="C30" s="4" t="str">
        <x:v>체결</x:v>
      </x:c>
      <x:c r="D30" s="20" t="str">
        <x:v>M4 육각너트</x:v>
      </x:c>
      <x:c r="E30" s="20" t="str">
        <x:v>SUS304, 50개/팩</x:v>
      </x:c>
      <x:c r="F30" s="16" t="n">
        <x:v>20</x:v>
      </x:c>
      <x:c r="G30" s="16" t="n">
        <x:v>1</x:v>
      </x:c>
      <x:c r="H30" s="4" t="str">
        <x:v>PK_50</x:v>
      </x:c>
      <x:c r="I30" s="4" t="str">
        <x:v>나비엠알오</x:v>
      </x:c>
      <x:c r="J30" s="4" t="str">
        <x:v>K06130054</x:v>
      </x:c>
      <x:c r="K30" s="18" t="n">
        <x:v>1529</x:v>
      </x:c>
      <x:c r="L30" s="18" t="n">
        <x:f>G30*K30</x:f>
        <x:v>1529</x:v>
      </x:c>
      <x:c r="M30" s="20" t="str">
        <x:v>VAT포함 화면가</x:v>
      </x:c>
      <x:c r="N30" s="20" t="str">
        <x:v>재고 확인</x:v>
      </x:c>
      <x:c r="O30" s="20" t="str">
        <x:v>ORDER_BASE</x:v>
      </x:c>
      <x:c r="P30" s="20" t="str">
        <x:v>동등 규격 허용</x:v>
      </x:c>
      <x:c r="Q30" s="20" t="str">
        <x:v>전장함 장착용</x:v>
      </x:c>
      <x:c r="R30" s="20" t="str">
        <x:v>https://www.navimro.com/p/K06130054/</x:v>
      </x:c>
      <x:c r="S30" s="20" t="str">
        <x:v>F18과 조합</x:v>
      </x:c>
      <x:c r="T30" s="20" t="str">
        <x:v>2026-09-17</x:v>
      </x:c>
    </x:row>
    <x:row r="31" ht="44" customHeight="1">
      <x:c r="A31" s="4" t="str">
        <x:v>BASE</x:v>
      </x:c>
      <x:c r="B31" s="4" t="str">
        <x:v>E01</x:v>
      </x:c>
      <x:c r="C31" s="4" t="str">
        <x:v>전장</x:v>
      </x:c>
      <x:c r="D31" s="20" t="str">
        <x:v>2채널 양방향 DC 모터 드라이버</x:v>
      </x:c>
      <x:c r="E31" s="20" t="str">
        <x:v>Cytron MDD10A, 5~30 VDC, 10 A continuous/channel</x:v>
      </x:c>
      <x:c r="F31" s="16" t="n">
        <x:v>2</x:v>
      </x:c>
      <x:c r="G31" s="16" t="n">
        <x:v>2</x:v>
      </x:c>
      <x:c r="H31" s="4" t="str">
        <x:v>EA</x:v>
      </x:c>
      <x:c r="I31" s="4" t="str">
        <x:v>디바이스마트</x:v>
      </x:c>
      <x:c r="J31" s="4" t="str">
        <x:v>1280280 / MDD10A</x:v>
      </x:c>
      <x:c r="K31" s="18" t="n">
        <x:v>39930</x:v>
      </x:c>
      <x:c r="L31" s="18" t="n">
        <x:f>G31*K31</x:f>
        <x:v>79860</x:v>
      </x:c>
      <x:c r="M31" s="20" t="str">
        <x:v>VAT포함 화면가</x:v>
      </x:c>
      <x:c r="N31" s="20" t="str">
        <x:v>재고 확인</x:v>
      </x:c>
      <x:c r="O31" s="20" t="str">
        <x:v>ORDER_BASE</x:v>
      </x:c>
      <x:c r="P31" s="20" t="str">
        <x:v>동일 모델 권장</x:v>
      </x:c>
      <x:c r="Q31" s="20" t="str">
        <x:v>3채널 구성 확인</x:v>
      </x:c>
      <x:c r="R31" s="20" t="str">
        <x:v>https://www.devicemart.co.kr/goods/view?no=1280280</x:v>
      </x:c>
      <x:c r="S31" s="20" t="str">
        <x:v>4채널 중 3채널 사용. 축별 퓨즈 유지</x:v>
      </x:c>
      <x:c r="T31" s="20" t="str">
        <x:v>2026-09-17</x:v>
      </x:c>
    </x:row>
    <x:row r="32" ht="44" customHeight="1">
      <x:c r="A32" s="4" t="str">
        <x:v>BASE</x:v>
      </x:c>
      <x:c r="B32" s="4" t="str">
        <x:v>E02</x:v>
      </x:c>
      <x:c r="C32" s="4" t="str">
        <x:v>전장</x:v>
      </x:c>
      <x:c r="D32" s="20" t="str">
        <x:v>Mega2560 호환 제어보드</x:v>
      </x:c>
      <x:c r="E32" s="20" t="str">
        <x:v>SunFounder TS0481 Mega 2560 R3, USB-C 케이블 포함</x:v>
      </x:c>
      <x:c r="F32" s="16" t="n">
        <x:v>1</x:v>
      </x:c>
      <x:c r="G32" s="16" t="n">
        <x:v>1</x:v>
      </x:c>
      <x:c r="H32" s="4" t="str">
        <x:v>EA</x:v>
      </x:c>
      <x:c r="I32" s="4" t="str">
        <x:v>디바이스마트</x:v>
      </x:c>
      <x:c r="J32" s="4" t="str">
        <x:v>1382306 / TS0481</x:v>
      </x:c>
      <x:c r="K32" s="18" t="n">
        <x:v>34980</x:v>
      </x:c>
      <x:c r="L32" s="18" t="n">
        <x:f>G32*K32</x:f>
        <x:v>34980</x:v>
      </x:c>
      <x:c r="M32" s="20" t="str">
        <x:v>VAT포함 화면가</x:v>
      </x:c>
      <x:c r="N32" s="20" t="str">
        <x:v>재고 확인</x:v>
      </x:c>
      <x:c r="O32" s="20" t="str">
        <x:v>ORDER_BASE</x:v>
      </x:c>
      <x:c r="P32" s="20" t="str">
        <x:v>핀수 동등품 허용</x:v>
      </x:c>
      <x:c r="Q32" s="20" t="str">
        <x:v>펌웨어 대상</x:v>
      </x:c>
      <x:c r="R32" s="20" t="str">
        <x:v>https://www.devicemart.co.kr/goods/view?no=1382306</x:v>
      </x:c>
      <x:c r="S32" s="20" t="str">
        <x:v>엔코더 3축과 모터 3채널 제어</x:v>
      </x:c>
      <x:c r="T32" s="20" t="str">
        <x:v>2026-09-17</x:v>
      </x:c>
    </x:row>
    <x:row r="33" ht="44" customHeight="1">
      <x:c r="A33" s="4" t="str">
        <x:v>BASE</x:v>
      </x:c>
      <x:c r="B33" s="4" t="str">
        <x:v>E03</x:v>
      </x:c>
      <x:c r="C33" s="4" t="str">
        <x:v>전장</x:v>
      </x:c>
      <x:c r="D33" s="20" t="str">
        <x:v>6축 IMU 모듈</x:v>
      </x:c>
      <x:c r="E33" s="20" t="str">
        <x:v>VOLT GY-521 / MPU6050, I2C</x:v>
      </x:c>
      <x:c r="F33" s="16" t="n">
        <x:v>1</x:v>
      </x:c>
      <x:c r="G33" s="16" t="n">
        <x:v>1</x:v>
      </x:c>
      <x:c r="H33" s="4" t="str">
        <x:v>EA</x:v>
      </x:c>
      <x:c r="I33" s="4" t="str">
        <x:v>디바이스마트</x:v>
      </x:c>
      <x:c r="J33" s="4" t="str">
        <x:v>15960724 / VLT-GY006</x:v>
      </x:c>
      <x:c r="K33" s="18" t="n">
        <x:v>6490</x:v>
      </x:c>
      <x:c r="L33" s="18" t="n">
        <x:f>G33*K33</x:f>
        <x:v>6490</x:v>
      </x:c>
      <x:c r="M33" s="20" t="str">
        <x:v>VAT포함 화면가</x:v>
      </x:c>
      <x:c r="N33" s="20" t="str">
        <x:v>재고 확인</x:v>
      </x:c>
      <x:c r="O33" s="20" t="str">
        <x:v>ORDER_BASE</x:v>
      </x:c>
      <x:c r="P33" s="20" t="str">
        <x:v>동일 인터페이스 허용</x:v>
      </x:c>
      <x:c r="Q33" s="20" t="str">
        <x:v>상부 장착</x:v>
      </x:c>
      <x:c r="R33" s="20" t="str">
        <x:v>https://www.devicemart.co.kr/goods/view?no=15960724</x:v>
      </x:c>
      <x:c r="S33" s="20" t="str">
        <x:v>장착 후 ZERO_IMU 및 온도 드리프트 확인</x:v>
      </x:c>
      <x:c r="T33" s="20" t="str">
        <x:v>2026-09-17</x:v>
      </x:c>
    </x:row>
    <x:row r="34" ht="44" customHeight="1">
      <x:c r="A34" s="4" t="str">
        <x:v>BASE</x:v>
      </x:c>
      <x:c r="B34" s="4" t="str">
        <x:v>E04</x:v>
      </x:c>
      <x:c r="C34" s="4" t="str">
        <x:v>전장</x:v>
      </x:c>
      <x:c r="D34" s="20" t="str">
        <x:v>24 V AC-DC 전원공급기</x:v>
      </x:c>
      <x:c r="E34" s="20" t="str">
        <x:v>Mean Well LRS-350-24, 24 VDC 14.6 A 350 W</x:v>
      </x:c>
      <x:c r="F34" s="16" t="n">
        <x:v>1</x:v>
      </x:c>
      <x:c r="G34" s="16" t="n">
        <x:v>1</x:v>
      </x:c>
      <x:c r="H34" s="4" t="str">
        <x:v>EA</x:v>
      </x:c>
      <x:c r="I34" s="4" t="str">
        <x:v>디바이스마트</x:v>
      </x:c>
      <x:c r="J34" s="4" t="str">
        <x:v>13231965 / LRS-350-24</x:v>
      </x:c>
      <x:c r="K34" s="18" t="n">
        <x:v>45650</x:v>
      </x:c>
      <x:c r="L34" s="18" t="n">
        <x:f>G34*K34</x:f>
        <x:v>45650</x:v>
      </x:c>
      <x:c r="M34" s="20" t="str">
        <x:v>VAT포함 화면가</x:v>
      </x:c>
      <x:c r="N34" s="20" t="str">
        <x:v>재고 확인</x:v>
      </x:c>
      <x:c r="O34" s="20" t="str">
        <x:v>ORDER_BASE</x:v>
      </x:c>
      <x:c r="P34" s="20" t="str">
        <x:v>동일 정격 허용</x:v>
      </x:c>
      <x:c r="Q34" s="20" t="str">
        <x:v>전류 여유 계산</x:v>
      </x:c>
      <x:c r="R34" s="20" t="str">
        <x:v>https://www.devicemart.co.kr/goods/view?no=13231965</x:v>
      </x:c>
      <x:c r="S34" s="20" t="str">
        <x:v>접지 필수. 3축 동시 스톨 운전 금지</x:v>
      </x:c>
      <x:c r="T34" s="20" t="str">
        <x:v>2026-09-17</x:v>
      </x:c>
    </x:row>
    <x:row r="35" ht="44" customHeight="1">
      <x:c r="A35" s="4" t="str">
        <x:v>BASE</x:v>
      </x:c>
      <x:c r="B35" s="4" t="str">
        <x:v>E05</x:v>
      </x:c>
      <x:c r="C35" s="4" t="str">
        <x:v>전장</x:v>
      </x:c>
      <x:c r="D35" s="20" t="str">
        <x:v>24→5 V 강압 모듈</x:v>
      </x:c>
      <x:c r="E35" s="20" t="str">
        <x:v>SZH-BPM003, input15~40V, output5V 3A</x:v>
      </x:c>
      <x:c r="F35" s="16" t="n">
        <x:v>1</x:v>
      </x:c>
      <x:c r="G35" s="16" t="n">
        <x:v>1</x:v>
      </x:c>
      <x:c r="H35" s="4" t="str">
        <x:v>EA</x:v>
      </x:c>
      <x:c r="I35" s="4" t="str">
        <x:v>디바이스마트</x:v>
      </x:c>
      <x:c r="J35" s="4" t="str">
        <x:v>1330743 / SZH-BPM003</x:v>
      </x:c>
      <x:c r="K35" s="18" t="n">
        <x:v>9350</x:v>
      </x:c>
      <x:c r="L35" s="18" t="n">
        <x:f>G35*K35</x:f>
        <x:v>9350</x:v>
      </x:c>
      <x:c r="M35" s="20" t="str">
        <x:v>VAT포함 화면가</x:v>
      </x:c>
      <x:c r="N35" s="20" t="str">
        <x:v>재고 확인</x:v>
      </x:c>
      <x:c r="O35" s="20" t="str">
        <x:v>ORDER_BASE</x:v>
      </x:c>
      <x:c r="P35" s="20" t="str">
        <x:v>동일 정격 허용</x:v>
      </x:c>
      <x:c r="Q35" s="20" t="str">
        <x:v>제어전원 분리</x:v>
      </x:c>
      <x:c r="R35" s="20" t="str">
        <x:v>https://www.devicemart.co.kr/goods/view?no=1330743</x:v>
      </x:c>
      <x:c r="S35" s="20" t="str">
        <x:v>Mega/IMU/엔코더 로직 전용</x:v>
      </x:c>
      <x:c r="T35" s="20" t="str">
        <x:v>2026-09-17</x:v>
      </x:c>
    </x:row>
    <x:row r="36" ht="44" customHeight="1">
      <x:c r="A36" s="4" t="str">
        <x:v>BASE</x:v>
      </x:c>
      <x:c r="B36" s="4" t="str">
        <x:v>E06</x:v>
      </x:c>
      <x:c r="C36" s="4" t="str">
        <x:v>전장</x:v>
      </x:c>
      <x:c r="D36" s="20" t="str">
        <x:v>ABS 전장함</x:v>
      </x:c>
      <x:c r="E36" s="20" t="str">
        <x:v>SL902, 400×500×155 mm</x:v>
      </x:c>
      <x:c r="F36" s="16" t="n">
        <x:v>1</x:v>
      </x:c>
      <x:c r="G36" s="16" t="n">
        <x:v>1</x:v>
      </x:c>
      <x:c r="H36" s="4" t="str">
        <x:v>EA</x:v>
      </x:c>
      <x:c r="I36" s="4" t="str">
        <x:v>나비엠알오</x:v>
      </x:c>
      <x:c r="J36" s="4" t="str">
        <x:v>K07636024</x:v>
      </x:c>
      <x:c r="K36" s="18" t="n">
        <x:v>27489</x:v>
      </x:c>
      <x:c r="L36" s="18" t="n">
        <x:f>G36*K36</x:f>
        <x:v>27489</x:v>
      </x:c>
      <x:c r="M36" s="20" t="str">
        <x:v>VAT포함 화면가</x:v>
      </x:c>
      <x:c r="N36" s="20" t="str">
        <x:v>재고 확인</x:v>
      </x:c>
      <x:c r="O36" s="20" t="str">
        <x:v>ORDER_BASE</x:v>
      </x:c>
      <x:c r="P36" s="20" t="str">
        <x:v>동등 크기 허용</x:v>
      </x:c>
      <x:c r="Q36" s="20" t="str">
        <x:v>배치 여유 확인</x:v>
      </x:c>
      <x:c r="R36" s="20" t="str">
        <x:v>https://www.navimro.com/p/K07636024/</x:v>
      </x:c>
      <x:c r="S36" s="20" t="str">
        <x:v>실부품 배치 후 글랜드·버튼 홀 가공</x:v>
      </x:c>
      <x:c r="T36" s="20" t="str">
        <x:v>2026-09-17</x:v>
      </x:c>
    </x:row>
    <x:row r="37" ht="44" customHeight="1">
      <x:c r="A37" s="4" t="str">
        <x:v>BASE</x:v>
      </x:c>
      <x:c r="B37" s="4" t="str">
        <x:v>E07</x:v>
      </x:c>
      <x:c r="C37" s="4" t="str">
        <x:v>전장</x:v>
      </x:c>
      <x:c r="D37" s="20" t="str">
        <x:v>접지 전원코드</x:v>
      </x:c>
      <x:c r="E37" s="20" t="str">
        <x:v>DYP-G15B, 2 m, 1.5sq×3C</x:v>
      </x:c>
      <x:c r="F37" s="16" t="n">
        <x:v>1</x:v>
      </x:c>
      <x:c r="G37" s="16" t="n">
        <x:v>1</x:v>
      </x:c>
      <x:c r="H37" s="4" t="str">
        <x:v>EA</x:v>
      </x:c>
      <x:c r="I37" s="4" t="str">
        <x:v>나비엠알오</x:v>
      </x:c>
      <x:c r="J37" s="4" t="str">
        <x:v>K08345728</x:v>
      </x:c>
      <x:c r="K37" s="18" t="n">
        <x:v>4389</x:v>
      </x:c>
      <x:c r="L37" s="18" t="n">
        <x:f>G37*K37</x:f>
        <x:v>4389</x:v>
      </x:c>
      <x:c r="M37" s="20" t="str">
        <x:v>VAT포함 화면가</x:v>
      </x:c>
      <x:c r="N37" s="20" t="str">
        <x:v>재고 확인</x:v>
      </x:c>
      <x:c r="O37" s="20" t="str">
        <x:v>ORDER_BASE</x:v>
      </x:c>
      <x:c r="P37" s="20" t="str">
        <x:v>동등 정격 허용</x:v>
      </x:c>
      <x:c r="Q37" s="20" t="str">
        <x:v>AC 입력</x:v>
      </x:c>
      <x:c r="R37" s="20" t="str">
        <x:v>https://www.navimro.com/p/K08345728/</x:v>
      </x:c>
      <x:c r="S37" s="20" t="str">
        <x:v>PE를 PSU 섀시에 직접 연결</x:v>
      </x:c>
      <x:c r="T37" s="20" t="str">
        <x:v>2026-09-17</x:v>
      </x:c>
    </x:row>
    <x:row r="38" ht="44" customHeight="1">
      <x:c r="A38" s="4" t="str">
        <x:v>BASE</x:v>
      </x:c>
      <x:c r="B38" s="4" t="str">
        <x:v>E08</x:v>
      </x:c>
      <x:c r="C38" s="4" t="str">
        <x:v>전장</x:v>
      </x:c>
      <x:c r="D38" s="20" t="str">
        <x:v>2극 배선용 차단기</x:v>
      </x:c>
      <x:c r="E38" s="20" t="str">
        <x:v>ABE32b, 2P2E, 10 A</x:v>
      </x:c>
      <x:c r="F38" s="16" t="n">
        <x:v>1</x:v>
      </x:c>
      <x:c r="G38" s="16" t="n">
        <x:v>1</x:v>
      </x:c>
      <x:c r="H38" s="4" t="str">
        <x:v>EA</x:v>
      </x:c>
      <x:c r="I38" s="4" t="str">
        <x:v>나비엠알오</x:v>
      </x:c>
      <x:c r="J38" s="4" t="str">
        <x:v>K04115335</x:v>
      </x:c>
      <x:c r="K38" s="18" t="n">
        <x:v>23089</x:v>
      </x:c>
      <x:c r="L38" s="18" t="n">
        <x:f>G38*K38</x:f>
        <x:v>23089</x:v>
      </x:c>
      <x:c r="M38" s="20" t="str">
        <x:v>VAT포함 화면가</x:v>
      </x:c>
      <x:c r="N38" s="20" t="str">
        <x:v>재고 확인</x:v>
      </x:c>
      <x:c r="O38" s="20" t="str">
        <x:v>ORDER_BASE</x:v>
      </x:c>
      <x:c r="P38" s="20" t="str">
        <x:v>동등 정격 허용</x:v>
      </x:c>
      <x:c r="Q38" s="20" t="str">
        <x:v>벤치 차단</x:v>
      </x:c>
      <x:c r="R38" s="20" t="str">
        <x:v>https://www.navimro.com/p/K04115335/</x:v>
      </x:c>
      <x:c r="S38" s="20" t="str">
        <x:v>접근 가능한 주전원 차단. 안전등급 주장 안 함</x:v>
      </x:c>
      <x:c r="T38" s="20" t="str">
        <x:v>2026-09-17</x:v>
      </x:c>
    </x:row>
    <x:row r="39" ht="44" customHeight="1">
      <x:c r="A39" s="4" t="str">
        <x:v>BASE</x:v>
      </x:c>
      <x:c r="B39" s="4" t="str">
        <x:v>E09A</x:v>
      </x:c>
      <x:c r="C39" s="4" t="str">
        <x:v>전장</x:v>
      </x:c>
      <x:c r="D39" s="20" t="str">
        <x:v>ATO 퓨즈홀더</x:v>
      </x:c>
      <x:c r="E39" s="20" t="str">
        <x:v>SZH-FU005, 방수 인라인</x:v>
      </x:c>
      <x:c r="F39" s="16" t="n">
        <x:v>4</x:v>
      </x:c>
      <x:c r="G39" s="16" t="n">
        <x:v>4</x:v>
      </x:c>
      <x:c r="H39" s="4" t="str">
        <x:v>EA</x:v>
      </x:c>
      <x:c r="I39" s="4" t="str">
        <x:v>디바이스마트</x:v>
      </x:c>
      <x:c r="J39" s="4" t="str">
        <x:v>12170196 / SZH-FU005</x:v>
      </x:c>
      <x:c r="K39" s="18" t="n">
        <x:v>1870</x:v>
      </x:c>
      <x:c r="L39" s="18" t="n">
        <x:f>G39*K39</x:f>
        <x:v>7480</x:v>
      </x:c>
      <x:c r="M39" s="20" t="str">
        <x:v>VAT포함 화면가</x:v>
      </x:c>
      <x:c r="N39" s="20" t="str">
        <x:v>재고 확인</x:v>
      </x:c>
      <x:c r="O39" s="20" t="str">
        <x:v>ORDER_BASE</x:v>
      </x:c>
      <x:c r="P39" s="20" t="str">
        <x:v>동등품 허용</x:v>
      </x:c>
      <x:c r="Q39" s="20" t="str">
        <x:v>축3+제어1</x:v>
      </x:c>
      <x:c r="R39" s="20" t="str">
        <x:v>https://www.devicemart.co.kr/goods/view?no=12170196</x:v>
      </x:c>
      <x:c r="S39" s="20" t="str">
        <x:v>24V 분기 4개</x:v>
      </x:c>
      <x:c r="T39" s="20" t="str">
        <x:v>2026-09-17</x:v>
      </x:c>
    </x:row>
    <x:row r="40" ht="44" customHeight="1">
      <x:c r="A40" s="4" t="str">
        <x:v>BASE</x:v>
      </x:c>
      <x:c r="B40" s="4" t="str">
        <x:v>E09B</x:v>
      </x:c>
      <x:c r="C40" s="4" t="str">
        <x:v>전장</x:v>
      </x:c>
      <x:c r="D40" s="20" t="str">
        <x:v>ATO 블레이드 퓨즈 5 A</x:v>
      </x:c>
      <x:c r="E40" s="20" t="str">
        <x:v>32 VDC, 최소주문 10개</x:v>
      </x:c>
      <x:c r="F40" s="16" t="n">
        <x:v>3</x:v>
      </x:c>
      <x:c r="G40" s="16" t="n">
        <x:v>10</x:v>
      </x:c>
      <x:c r="H40" s="4" t="str">
        <x:v>EA</x:v>
      </x:c>
      <x:c r="I40" s="4" t="str">
        <x:v>디바이스마트</x:v>
      </x:c>
      <x:c r="J40" s="4" t="str">
        <x:v>11509 / ATO-5A</x:v>
      </x:c>
      <x:c r="K40" s="18" t="n">
        <x:v>110</x:v>
      </x:c>
      <x:c r="L40" s="18" t="n">
        <x:f>G40*K40</x:f>
        <x:v>1100</x:v>
      </x:c>
      <x:c r="M40" s="20" t="str">
        <x:v>VAT포함 화면가</x:v>
      </x:c>
      <x:c r="N40" s="20" t="str">
        <x:v>재고 확인</x:v>
      </x:c>
      <x:c r="O40" s="20" t="str">
        <x:v>ORDER_BASE</x:v>
      </x:c>
      <x:c r="P40" s="20" t="str">
        <x:v>동등 정격 허용</x:v>
      </x:c>
      <x:c r="Q40" s="20" t="str">
        <x:v>축별 보호</x:v>
      </x:c>
      <x:c r="R40" s="20" t="str">
        <x:v>https://www.devicemart.co.kr/goods/view?no=11509</x:v>
      </x:c>
      <x:c r="S40" s="20" t="str">
        <x:v>실측 전 임의 증용량 금지</x:v>
      </x:c>
      <x:c r="T40" s="20" t="str">
        <x:v>2026-09-17</x:v>
      </x:c>
    </x:row>
    <x:row r="41" ht="44" customHeight="1">
      <x:c r="A41" s="4" t="str">
        <x:v>BASE</x:v>
      </x:c>
      <x:c r="B41" s="4" t="str">
        <x:v>E09C</x:v>
      </x:c>
      <x:c r="C41" s="4" t="str">
        <x:v>전장</x:v>
      </x:c>
      <x:c r="D41" s="20" t="str">
        <x:v>ATO 블레이드 퓨즈 1 A</x:v>
      </x:c>
      <x:c r="E41" s="20" t="str">
        <x:v>32 VDC</x:v>
      </x:c>
      <x:c r="F41" s="16" t="n">
        <x:v>1</x:v>
      </x:c>
      <x:c r="G41" s="16" t="n">
        <x:v>3</x:v>
      </x:c>
      <x:c r="H41" s="4" t="str">
        <x:v>EA</x:v>
      </x:c>
      <x:c r="I41" s="4" t="str">
        <x:v>디바이스마트</x:v>
      </x:c>
      <x:c r="J41" s="4" t="str">
        <x:v>16020344 / ATO-1A</x:v>
      </x:c>
      <x:c r="K41" s="18" t="n">
        <x:v>726</x:v>
      </x:c>
      <x:c r="L41" s="18" t="n">
        <x:f>G41*K41</x:f>
        <x:v>2178</x:v>
      </x:c>
      <x:c r="M41" s="20" t="str">
        <x:v>VAT포함 화면가</x:v>
      </x:c>
      <x:c r="N41" s="20" t="str">
        <x:v>재고 확인</x:v>
      </x:c>
      <x:c r="O41" s="20" t="str">
        <x:v>ORDER_BASE</x:v>
      </x:c>
      <x:c r="P41" s="20" t="str">
        <x:v>동등 정격 허용</x:v>
      </x:c>
      <x:c r="Q41" s="20" t="str">
        <x:v>제어전원 보호</x:v>
      </x:c>
      <x:c r="R41" s="20" t="str">
        <x:v>https://www.devicemart.co.kr/goods/view?no=16020344</x:v>
      </x:c>
      <x:c r="S41" s="20" t="str">
        <x:v>1개 사용+2개 예비</x:v>
      </x:c>
      <x:c r="T41" s="20" t="str">
        <x:v>2026-09-17</x:v>
      </x:c>
    </x:row>
    <x:row r="42" ht="44" customHeight="1">
      <x:c r="A42" s="4" t="str">
        <x:v>BASE</x:v>
      </x:c>
      <x:c r="B42" s="4" t="str">
        <x:v>E10</x:v>
      </x:c>
      <x:c r="C42" s="4" t="str">
        <x:v>전장</x:v>
      </x:c>
      <x:c r="D42" s="20" t="str">
        <x:v>비상정지/STOP 스위치</x:v>
      </x:c>
      <x:c r="E42" s="20" t="str">
        <x:v>KGAUTO KGE-C4R2R, push-lock/turn-reset, 2a2b, 적색</x:v>
      </x:c>
      <x:c r="F42" s="16" t="n">
        <x:v>1</x:v>
      </x:c>
      <x:c r="G42" s="16" t="n">
        <x:v>1</x:v>
      </x:c>
      <x:c r="H42" s="4" t="str">
        <x:v>EA</x:v>
      </x:c>
      <x:c r="I42" s="4" t="str">
        <x:v>디바이스마트</x:v>
      </x:c>
      <x:c r="J42" s="4" t="str">
        <x:v>10895022 / KGE-C4R2R</x:v>
      </x:c>
      <x:c r="K42" s="18" t="n">
        <x:v>7260</x:v>
      </x:c>
      <x:c r="L42" s="18" t="n">
        <x:f>G42*K42</x:f>
        <x:v>7260</x:v>
      </x:c>
      <x:c r="M42" s="20" t="str">
        <x:v>2026-09-17 VAT포함 판매가</x:v>
      </x:c>
      <x:c r="N42" s="20" t="str">
        <x:v>약 2주</x:v>
      </x:c>
      <x:c r="O42" s="20" t="str">
        <x:v>ORDER_EXACT_ITEM</x:v>
      </x:c>
      <x:c r="P42" s="20" t="str">
        <x:v>동등 2NC 이상 허용</x:v>
      </x:c>
      <x:c r="Q42" s="20" t="str">
        <x:v>하드웨어 STOP</x:v>
      </x:c>
      <x:c r="R42" s="20" t="str">
        <x:v>https://www.devicemart.co.kr/goods/view?no=10895022</x:v>
      </x:c>
      <x:c r="S42" s="20" t="str">
        <x:v>NC 접점으로 릴레이 코일 차단. 안전등급 주장 안 함</x:v>
      </x:c>
      <x:c r="T42" s="20" t="str">
        <x:v>2026-09-17</x:v>
      </x:c>
    </x:row>
    <x:row r="43" ht="44" customHeight="1">
      <x:c r="A43" s="4" t="str">
        <x:v>BASE</x:v>
      </x:c>
      <x:c r="B43" s="4" t="str">
        <x:v>E11</x:v>
      </x:c>
      <x:c r="C43" s="4" t="str">
        <x:v>전장</x:v>
      </x:c>
      <x:c r="D43" s="20" t="str">
        <x:v>모터전력 차단 릴레이</x:v>
      </x:c>
      <x:c r="E43" s="20" t="str">
        <x:v>Omron LY4-D DC24, 4PDT, 다이오드 내장</x:v>
      </x:c>
      <x:c r="F43" s="16" t="n">
        <x:v>1</x:v>
      </x:c>
      <x:c r="G43" s="16" t="n">
        <x:v>1</x:v>
      </x:c>
      <x:c r="H43" s="4" t="str">
        <x:v>EA</x:v>
      </x:c>
      <x:c r="I43" s="4" t="str">
        <x:v>디바이스마트</x:v>
      </x:c>
      <x:c r="J43" s="4" t="str">
        <x:v>8822862 / LY4-D DC24</x:v>
      </x:c>
      <x:c r="K43" s="18" t="n">
        <x:v>65846</x:v>
      </x:c>
      <x:c r="L43" s="18" t="n">
        <x:f>G43*K43</x:f>
        <x:v>65846</x:v>
      </x:c>
      <x:c r="M43" s="20" t="str">
        <x:v>VAT포함 화면가</x:v>
      </x:c>
      <x:c r="N43" s="20" t="str">
        <x:v>4~5영업일</x:v>
      </x:c>
      <x:c r="O43" s="20" t="str">
        <x:v>ORDER_EXACT_ITEM</x:v>
      </x:c>
      <x:c r="P43" s="20" t="str">
        <x:v>대체 시 DC유도부하 정격 검토</x:v>
      </x:c>
      <x:c r="Q43" s="20" t="str">
        <x:v>3회로 분리 차단</x:v>
      </x:c>
      <x:c r="R43" s="20" t="str">
        <x:v>https://www.devicemart.co.kr/goods/view?no=8822862</x:v>
      </x:c>
      <x:c r="S43" s="20" t="str">
        <x:v>3접점으로 3축 +24V 분리 차단, 1접점 자기유지</x:v>
      </x:c>
      <x:c r="T43" s="20" t="str">
        <x:v>2026-09-17</x:v>
      </x:c>
    </x:row>
    <x:row r="44" ht="44" customHeight="1">
      <x:c r="A44" s="4" t="str">
        <x:v>BASE</x:v>
      </x:c>
      <x:c r="B44" s="4" t="str">
        <x:v>E12</x:v>
      </x:c>
      <x:c r="C44" s="4" t="str">
        <x:v>전장</x:v>
      </x:c>
      <x:c r="D44" s="20" t="str">
        <x:v>릴레이 소켓</x:v>
      </x:c>
      <x:c r="E44" s="20" t="str">
        <x:v>Omron PTF14A, DIN rail/나사단자</x:v>
      </x:c>
      <x:c r="F44" s="16" t="n">
        <x:v>1</x:v>
      </x:c>
      <x:c r="G44" s="16" t="n">
        <x:v>1</x:v>
      </x:c>
      <x:c r="H44" s="4" t="str">
        <x:v>EA</x:v>
      </x:c>
      <x:c r="I44" s="4" t="str">
        <x:v>디바이스마트</x:v>
      </x:c>
      <x:c r="J44" s="4" t="str">
        <x:v>8831641 / PTF14A</x:v>
      </x:c>
      <x:c r="K44" s="18" t="n">
        <x:v>36443</x:v>
      </x:c>
      <x:c r="L44" s="18" t="n">
        <x:f>G44*K44</x:f>
        <x:v>36443</x:v>
      </x:c>
      <x:c r="M44" s="20" t="str">
        <x:v>2026-09-17 VAT포함 판매가</x:v>
      </x:c>
      <x:c r="N44" s="20" t="str">
        <x:v>4~5영업일</x:v>
      </x:c>
      <x:c r="O44" s="20" t="str">
        <x:v>ORDER_EXACT_ITEM</x:v>
      </x:c>
      <x:c r="P44" s="20" t="str">
        <x:v>LY4-D 호환품만 허용</x:v>
      </x:c>
      <x:c r="Q44" s="20" t="str">
        <x:v>릴레이 호환</x:v>
      </x:c>
      <x:c r="R44" s="20" t="str">
        <x:v>https://www.devicemart.co.kr/goods/view?no=8831641</x:v>
      </x:c>
      <x:c r="S44" s="20" t="str">
        <x:v>릴레이 핀 직접 납땜 금지</x:v>
      </x:c>
      <x:c r="T44" s="20" t="str">
        <x:v>2026-09-17</x:v>
      </x:c>
    </x:row>
    <x:row r="45" ht="44" customHeight="1">
      <x:c r="A45" s="4" t="str">
        <x:v>BASE</x:v>
      </x:c>
      <x:c r="B45" s="4" t="str">
        <x:v>E13</x:v>
      </x:c>
      <x:c r="C45" s="4" t="str">
        <x:v>전장</x:v>
      </x:c>
      <x:c r="D45" s="20" t="str">
        <x:v>START 순간버튼</x:v>
      </x:c>
      <x:c r="E45" s="20" t="str">
        <x:v>한영넉스 CRF-F25M1 G, 녹색, 1a1b, 25파이</x:v>
      </x:c>
      <x:c r="F45" s="16" t="n">
        <x:v>1</x:v>
      </x:c>
      <x:c r="G45" s="16" t="n">
        <x:v>1</x:v>
      </x:c>
      <x:c r="H45" s="4" t="str">
        <x:v>EA</x:v>
      </x:c>
      <x:c r="I45" s="4" t="str">
        <x:v>디바이스마트</x:v>
      </x:c>
      <x:c r="J45" s="4" t="str">
        <x:v>10916422 / CRF-F25M1 G</x:v>
      </x:c>
      <x:c r="K45" s="18" t="n">
        <x:v>2860</x:v>
      </x:c>
      <x:c r="L45" s="18" t="n">
        <x:f>G45*K45</x:f>
        <x:v>2860</x:v>
      </x:c>
      <x:c r="M45" s="20" t="str">
        <x:v>2026-09-17 VAT포함 판매가</x:v>
      </x:c>
      <x:c r="N45" s="20" t="str">
        <x:v>약 3일</x:v>
      </x:c>
      <x:c r="O45" s="20" t="str">
        <x:v>ORDER_EXACT_ITEM</x:v>
      </x:c>
      <x:c r="P45" s="20" t="str">
        <x:v>1NO 순간접점 동등품 허용</x:v>
      </x:c>
      <x:c r="Q45" s="20" t="str">
        <x:v>사용자 시작명령</x:v>
      </x:c>
      <x:c r="R45" s="20" t="str">
        <x:v>https://www.devicemart.co.kr/goods/view?no=10916422</x:v>
      </x:c>
      <x:c r="S45" s="20" t="str">
        <x:v>시작 명령/릴레이 자기유지 입력</x:v>
      </x:c>
      <x:c r="T45" s="20" t="str">
        <x:v>2026-09-17</x:v>
      </x:c>
    </x:row>
    <x:row r="46" ht="44" customHeight="1">
      <x:c r="A46" s="4" t="str">
        <x:v>BASE</x:v>
      </x:c>
      <x:c r="B46" s="4" t="str">
        <x:v>E14</x:v>
      </x:c>
      <x:c r="C46" s="4" t="str">
        <x:v>전장</x:v>
      </x:c>
      <x:c r="D46" s="20" t="str">
        <x:v>스크루 단자대</x:v>
      </x:c>
      <x:c r="E46" s="20" t="str">
        <x:v>JOTB-20-10, 20A, 10P</x:v>
      </x:c>
      <x:c r="F46" s="16" t="n">
        <x:v>2</x:v>
      </x:c>
      <x:c r="G46" s="16" t="n">
        <x:v>2</x:v>
      </x:c>
      <x:c r="H46" s="4" t="str">
        <x:v>EA</x:v>
      </x:c>
      <x:c r="I46" s="4" t="str">
        <x:v>나비엠알오</x:v>
      </x:c>
      <x:c r="J46" s="4" t="str">
        <x:v>K02216060</x:v>
      </x:c>
      <x:c r="K46" s="18" t="n">
        <x:v>2739</x:v>
      </x:c>
      <x:c r="L46" s="18" t="n">
        <x:f>G46*K46</x:f>
        <x:v>5478</x:v>
      </x:c>
      <x:c r="M46" s="20" t="str">
        <x:v>VAT포함 화면가</x:v>
      </x:c>
      <x:c r="N46" s="20" t="str">
        <x:v>재고 확인</x:v>
      </x:c>
      <x:c r="O46" s="20" t="str">
        <x:v>ORDER_BASE</x:v>
      </x:c>
      <x:c r="P46" s="20" t="str">
        <x:v>동등 정격 허용</x:v>
      </x:c>
      <x:c r="Q46" s="20" t="str">
        <x:v>AC/SELV 분리</x:v>
      </x:c>
      <x:c r="R46" s="20" t="str">
        <x:v>https://www.navimro.com/p/K02216060/</x:v>
      </x:c>
      <x:c r="S46" s="20" t="str">
        <x:v>AC와 24/5V 단자대를 물리 분리</x:v>
      </x:c>
      <x:c r="T46" s="20" t="str">
        <x:v>2026-09-17</x:v>
      </x:c>
    </x:row>
    <x:row r="47" ht="44" customHeight="1">
      <x:c r="A47" s="4" t="str">
        <x:v>BASE</x:v>
      </x:c>
      <x:c r="B47" s="4" t="str">
        <x:v>E15</x:v>
      </x:c>
      <x:c r="C47" s="4" t="str">
        <x:v>전장</x:v>
      </x:c>
      <x:c r="D47" s="20" t="str">
        <x:v>14AWG 실리콘 전선 세트</x:v>
      </x:c>
      <x:c r="E47" s="20" t="str">
        <x:v>적/흑/백, 판매구성 길이 확인</x:v>
      </x:c>
      <x:c r="F47" s="16" t="n">
        <x:v>1</x:v>
      </x:c>
      <x:c r="G47" s="16" t="n">
        <x:v>1</x:v>
      </x:c>
      <x:c r="H47" s="4" t="str">
        <x:v>SET</x:v>
      </x:c>
      <x:c r="I47" s="4" t="str">
        <x:v>나비엠알오</x:v>
      </x:c>
      <x:c r="J47" s="4" t="str">
        <x:v>K92854706</x:v>
      </x:c>
      <x:c r="K47" s="18" t="n">
        <x:v>82489</x:v>
      </x:c>
      <x:c r="L47" s="18" t="n">
        <x:f>G47*K47</x:f>
        <x:v>82489</x:v>
      </x:c>
      <x:c r="M47" s="20" t="str">
        <x:v>VAT포함 화면가</x:v>
      </x:c>
      <x:c r="N47" s="20" t="str">
        <x:v>재고 확인</x:v>
      </x:c>
      <x:c r="O47" s="20" t="str">
        <x:v>CHECKOUT_CONTENT</x:v>
      </x:c>
      <x:c r="P47" s="20" t="str">
        <x:v>동등 굵기/색상 허용</x:v>
      </x:c>
      <x:c r="Q47" s="20" t="str">
        <x:v>모터전력 배선</x:v>
      </x:c>
      <x:c r="R47" s="20" t="str">
        <x:v>https://www.navimro.com/p/K92854706/</x:v>
      </x:c>
      <x:c r="S47" s="20" t="str">
        <x:v>세 축 케이블 길이를 동등하게 구성</x:v>
      </x:c>
      <x:c r="T47" s="20" t="str">
        <x:v>2026-09-17</x:v>
      </x:c>
    </x:row>
    <x:row r="48" ht="44" customHeight="1">
      <x:c r="A48" s="4" t="str">
        <x:v>BASE</x:v>
      </x:c>
      <x:c r="B48" s="4" t="str">
        <x:v>E16</x:v>
      </x:c>
      <x:c r="C48" s="4" t="str">
        <x:v>전장</x:v>
      </x:c>
      <x:c r="D48" s="20" t="str">
        <x:v>24AWG 제어전선 세트</x:v>
      </x:c>
      <x:c r="E48" s="20" t="str">
        <x:v>UL1007, 6색, 총60 m</x:v>
      </x:c>
      <x:c r="F48" s="16" t="n">
        <x:v>1</x:v>
      </x:c>
      <x:c r="G48" s="16" t="n">
        <x:v>1</x:v>
      </x:c>
      <x:c r="H48" s="4" t="str">
        <x:v>SET</x:v>
      </x:c>
      <x:c r="I48" s="4" t="str">
        <x:v>나비엠알오</x:v>
      </x:c>
      <x:c r="J48" s="4" t="str">
        <x:v>K92843703</x:v>
      </x:c>
      <x:c r="K48" s="18" t="n">
        <x:v>34089</x:v>
      </x:c>
      <x:c r="L48" s="18" t="n">
        <x:f>G48*K48</x:f>
        <x:v>34089</x:v>
      </x:c>
      <x:c r="M48" s="20" t="str">
        <x:v>VAT포함 화면가</x:v>
      </x:c>
      <x:c r="N48" s="20" t="str">
        <x:v>재고 확인</x:v>
      </x:c>
      <x:c r="O48" s="20" t="str">
        <x:v>ORDER_BASE</x:v>
      </x:c>
      <x:c r="P48" s="20" t="str">
        <x:v>동등품 허용</x:v>
      </x:c>
      <x:c r="Q48" s="20" t="str">
        <x:v>신호선</x:v>
      </x:c>
      <x:c r="R48" s="20" t="str">
        <x:v>https://www.navimro.com/p/K92843703/</x:v>
      </x:c>
      <x:c r="S48" s="20" t="str">
        <x:v>엔코더/IMU/버튼/드라이버 로직</x:v>
      </x:c>
      <x:c r="T48" s="20" t="str">
        <x:v>2026-09-17</x:v>
      </x:c>
    </x:row>
    <x:row r="49" ht="44" customHeight="1">
      <x:c r="A49" s="4" t="str">
        <x:v>BASE</x:v>
      </x:c>
      <x:c r="B49" s="4" t="str">
        <x:v>E17</x:v>
      </x:c>
      <x:c r="C49" s="4" t="str">
        <x:v>전장</x:v>
      </x:c>
      <x:c r="D49" s="20" t="str">
        <x:v>열수축튜브 키트</x:v>
      </x:c>
      <x:c r="E49" s="20" t="str">
        <x:v>12종 750 pcs</x:v>
      </x:c>
      <x:c r="F49" s="16" t="n">
        <x:v>1</x:v>
      </x:c>
      <x:c r="G49" s="16" t="n">
        <x:v>1</x:v>
      </x:c>
      <x:c r="H49" s="4" t="str">
        <x:v>SET</x:v>
      </x:c>
      <x:c r="I49" s="4" t="str">
        <x:v>나비엠알오</x:v>
      </x:c>
      <x:c r="J49" s="4" t="str">
        <x:v>K52569152</x:v>
      </x:c>
      <x:c r="K49" s="18" t="n">
        <x:v>12089</x:v>
      </x:c>
      <x:c r="L49" s="18" t="n">
        <x:f>G49*K49</x:f>
        <x:v>12089</x:v>
      </x:c>
      <x:c r="M49" s="20" t="str">
        <x:v>VAT포함 화면가</x:v>
      </x:c>
      <x:c r="N49" s="20" t="str">
        <x:v>재고 확인</x:v>
      </x:c>
      <x:c r="O49" s="20" t="str">
        <x:v>ORDER_BASE</x:v>
      </x:c>
      <x:c r="P49" s="20" t="str">
        <x:v>동등품 허용</x:v>
      </x:c>
      <x:c r="Q49" s="20" t="str">
        <x:v>배선마감</x:v>
      </x:c>
      <x:c r="R49" s="20" t="str">
        <x:v>https://www.navimro.com/p/K52569152/</x:v>
      </x:c>
      <x:c r="S49" s="20" t="str">
        <x:v>접속부 절연과 식별</x:v>
      </x:c>
      <x:c r="T49" s="20" t="str">
        <x:v>2026-09-17</x:v>
      </x:c>
    </x:row>
    <x:row r="50" ht="44" customHeight="1">
      <x:c r="A50" s="4" t="str">
        <x:v>BASE</x:v>
      </x:c>
      <x:c r="B50" s="4" t="str">
        <x:v>E18</x:v>
      </x:c>
      <x:c r="C50" s="4" t="str">
        <x:v>전장</x:v>
      </x:c>
      <x:c r="D50" s="20" t="str">
        <x:v>케이블 글랜드</x:v>
      </x:c>
      <x:c r="E50" s="20" t="str">
        <x:v>PG13.5, 6~12 mm, 10개/팩</x:v>
      </x:c>
      <x:c r="F50" s="16" t="n">
        <x:v>7</x:v>
      </x:c>
      <x:c r="G50" s="16" t="n">
        <x:v>1</x:v>
      </x:c>
      <x:c r="H50" s="4" t="str">
        <x:v>PK_10</x:v>
      </x:c>
      <x:c r="I50" s="4" t="str">
        <x:v>나비엠알오</x:v>
      </x:c>
      <x:c r="J50" s="4" t="str">
        <x:v>K22571959</x:v>
      </x:c>
      <x:c r="K50" s="18" t="n">
        <x:v>6919</x:v>
      </x:c>
      <x:c r="L50" s="18" t="n">
        <x:f>G50*K50</x:f>
        <x:v>6919</x:v>
      </x:c>
      <x:c r="M50" s="20" t="str">
        <x:v>VAT포함 화면가</x:v>
      </x:c>
      <x:c r="N50" s="20" t="str">
        <x:v>재고 확인</x:v>
      </x:c>
      <x:c r="O50" s="20" t="str">
        <x:v>ORDER_BASE</x:v>
      </x:c>
      <x:c r="P50" s="20" t="str">
        <x:v>동등 규격 허용</x:v>
      </x:c>
      <x:c r="Q50" s="20" t="str">
        <x:v>전장함 인입</x:v>
      </x:c>
      <x:c r="R50" s="20" t="str">
        <x:v>https://www.navimro.com/p/K22571959/</x:v>
      </x:c>
      <x:c r="S50" s="20" t="str">
        <x:v>모터3+신호3+AC1</x:v>
      </x:c>
      <x:c r="T50" s="20" t="str">
        <x:v>2026-09-17</x:v>
      </x:c>
    </x:row>
    <x:row r="51" ht="44" customHeight="1">
      <x:c r="A51" s="4" t="str">
        <x:v>BASE</x:v>
      </x:c>
      <x:c r="B51" s="4" t="str">
        <x:v>E19</x:v>
      </x:c>
      <x:c r="C51" s="4" t="str">
        <x:v>전장</x:v>
      </x:c>
      <x:c r="D51" s="20" t="str">
        <x:v>페룰 키트</x:v>
      </x:c>
      <x:c r="E51" s="20" t="str">
        <x:v>DY6330, 0.5~2.5sq</x:v>
      </x:c>
      <x:c r="F51" s="16" t="n">
        <x:v>1</x:v>
      </x:c>
      <x:c r="G51" s="16" t="n">
        <x:v>1</x:v>
      </x:c>
      <x:c r="H51" s="4" t="str">
        <x:v>SET</x:v>
      </x:c>
      <x:c r="I51" s="4" t="str">
        <x:v>나비엠알오</x:v>
      </x:c>
      <x:c r="J51" s="4" t="str">
        <x:v>K92839991</x:v>
      </x:c>
      <x:c r="K51" s="18" t="n">
        <x:v>43989</x:v>
      </x:c>
      <x:c r="L51" s="18" t="n">
        <x:f>G51*K51</x:f>
        <x:v>43989</x:v>
      </x:c>
      <x:c r="M51" s="20" t="str">
        <x:v>VAT포함 화면가</x:v>
      </x:c>
      <x:c r="N51" s="20" t="str">
        <x:v>재고 확인</x:v>
      </x:c>
      <x:c r="O51" s="20" t="str">
        <x:v>ORDER_BASE</x:v>
      </x:c>
      <x:c r="P51" s="20" t="str">
        <x:v>동등품 허용</x:v>
      </x:c>
      <x:c r="Q51" s="20" t="str">
        <x:v>연선 단자처리</x:v>
      </x:c>
      <x:c r="R51" s="20" t="str">
        <x:v>https://www.navimro.com/p/K92839991/</x:v>
      </x:c>
      <x:c r="S51" s="20" t="str">
        <x:v>나사단자에 연선 직접 체결 금지</x:v>
      </x:c>
      <x:c r="T51" s="20" t="str">
        <x:v>2026-09-17</x:v>
      </x:c>
    </x:row>
    <x:row r="52" ht="44" customHeight="1">
      <x:c r="A52" s="4" t="str">
        <x:v>BASE</x:v>
      </x:c>
      <x:c r="B52" s="4" t="str">
        <x:v>E20</x:v>
      </x:c>
      <x:c r="C52" s="4" t="str">
        <x:v>전장</x:v>
      </x:c>
      <x:c r="D52" s="20" t="str">
        <x:v>케이블 타이</x:v>
      </x:c>
      <x:c r="E52" s="20" t="str">
        <x:v>J-200 black, 200×4.8, 1000개/팩</x:v>
      </x:c>
      <x:c r="F52" s="16" t="n">
        <x:v>1</x:v>
      </x:c>
      <x:c r="G52" s="16" t="n">
        <x:v>1</x:v>
      </x:c>
      <x:c r="H52" s="4" t="str">
        <x:v>PK_1000</x:v>
      </x:c>
      <x:c r="I52" s="4" t="str">
        <x:v>나비엠알오</x:v>
      </x:c>
      <x:c r="J52" s="4" t="str">
        <x:v>K01415707</x:v>
      </x:c>
      <x:c r="K52" s="18" t="n">
        <x:v>17039</x:v>
      </x:c>
      <x:c r="L52" s="18" t="n">
        <x:f>G52*K52</x:f>
        <x:v>17039</x:v>
      </x:c>
      <x:c r="M52" s="20" t="str">
        <x:v>VAT포함 화면가</x:v>
      </x:c>
      <x:c r="N52" s="20" t="str">
        <x:v>재고 확인</x:v>
      </x:c>
      <x:c r="O52" s="20" t="str">
        <x:v>ORDER_BASE</x:v>
      </x:c>
      <x:c r="P52" s="20" t="str">
        <x:v>동등품 허용</x:v>
      </x:c>
      <x:c r="Q52" s="20" t="str">
        <x:v>케이블 고정</x:v>
      </x:c>
      <x:c r="R52" s="20" t="str">
        <x:v>https://www.navimro.com/p/K01415707/</x:v>
      </x:c>
      <x:c r="S52" s="20" t="str">
        <x:v>이동 케이블에는 여유 루프 확보</x:v>
      </x:c>
      <x:c r="T52" s="20" t="str">
        <x:v>2026-09-17</x:v>
      </x:c>
    </x:row>
    <x:row r="53" ht="44" customHeight="1">
      <x:c r="A53" s="4" t="str">
        <x:v>BASE</x:v>
      </x:c>
      <x:c r="B53" s="4" t="str">
        <x:v>E21</x:v>
      </x:c>
      <x:c r="C53" s="4" t="str">
        <x:v>전장</x:v>
      </x:c>
      <x:c r="D53" s="20" t="str">
        <x:v>PVC 절연테이프</x:v>
      </x:c>
      <x:c r="E53" s="20" t="str">
        <x:v>흑색 10 m×19 mm</x:v>
      </x:c>
      <x:c r="F53" s="16" t="n">
        <x:v>3</x:v>
      </x:c>
      <x:c r="G53" s="16" t="n">
        <x:v>3</x:v>
      </x:c>
      <x:c r="H53" s="4" t="str">
        <x:v>EA</x:v>
      </x:c>
      <x:c r="I53" s="4" t="str">
        <x:v>나비엠알오</x:v>
      </x:c>
      <x:c r="J53" s="4" t="str">
        <x:v>K40799280</x:v>
      </x:c>
      <x:c r="K53" s="18" t="n">
        <x:v>550</x:v>
      </x:c>
      <x:c r="L53" s="18" t="n">
        <x:f>G53*K53</x:f>
        <x:v>1650</x:v>
      </x:c>
      <x:c r="M53" s="20" t="str">
        <x:v>VAT포함 화면가</x:v>
      </x:c>
      <x:c r="N53" s="20" t="str">
        <x:v>재고 확인</x:v>
      </x:c>
      <x:c r="O53" s="20" t="str">
        <x:v>ORDER_BASE</x:v>
      </x:c>
      <x:c r="P53" s="20" t="str">
        <x:v>동등품 허용</x:v>
      </x:c>
      <x:c r="Q53" s="20" t="str">
        <x:v>배선마감</x:v>
      </x:c>
      <x:c r="R53" s="20" t="str">
        <x:v>https://www.navimro.com/p/K40799280/</x:v>
      </x:c>
      <x:c r="S53" s="20" t="str">
        <x:v>영구 접속 절연은 열수축 사용</x:v>
      </x:c>
      <x:c r="T53" s="20" t="str">
        <x:v>2026-09-17</x:v>
      </x:c>
    </x:row>
    <x:row r="54" ht="44" customHeight="1">
      <x:c r="A54" s="4" t="str">
        <x:v>BASE</x:v>
      </x:c>
      <x:c r="B54" s="4" t="str">
        <x:v>E22</x:v>
      </x:c>
      <x:c r="C54" s="4" t="str">
        <x:v>전장</x:v>
      </x:c>
      <x:c r="D54" s="20" t="str">
        <x:v>35 mm DIN 레일</x:v>
      </x:c>
      <x:c r="E54" s="20" t="str">
        <x:v>JTRN-4, steel, 1 m</x:v>
      </x:c>
      <x:c r="F54" s="16" t="n">
        <x:v>1</x:v>
      </x:c>
      <x:c r="G54" s="16" t="n">
        <x:v>1</x:v>
      </x:c>
      <x:c r="H54" s="4" t="str">
        <x:v>EA</x:v>
      </x:c>
      <x:c r="I54" s="4" t="str">
        <x:v>디바이스마트</x:v>
      </x:c>
      <x:c r="J54" s="4" t="str">
        <x:v>12538843 / JTRN-4-1M</x:v>
      </x:c>
      <x:c r="K54" s="18" t="n">
        <x:v>16720</x:v>
      </x:c>
      <x:c r="L54" s="18" t="n">
        <x:f>G54*K54</x:f>
        <x:v>16720</x:v>
      </x:c>
      <x:c r="M54" s="20" t="str">
        <x:v>VAT포함 환산가</x:v>
      </x:c>
      <x:c r="N54" s="20" t="str">
        <x:v>재고 확인</x:v>
      </x:c>
      <x:c r="O54" s="20" t="str">
        <x:v>ORDER_BASE</x:v>
      </x:c>
      <x:c r="P54" s="20" t="str">
        <x:v>동등 규격 허용</x:v>
      </x:c>
      <x:c r="Q54" s="20" t="str">
        <x:v>전장함 배치</x:v>
      </x:c>
      <x:c r="R54" s="20" t="str">
        <x:v>https://www.devicemart.co.kr/goods/view?no=12538843</x:v>
      </x:c>
      <x:c r="S54" s="20" t="str">
        <x:v>전장함 배치 후 필요한 길이만 절단/디버링</x:v>
      </x:c>
      <x:c r="T54" s="20" t="str">
        <x:v>2026-09-17</x:v>
      </x:c>
    </x:row>
    <x:row r="55" ht="44" customHeight="1">
      <x:c r="A55" s="4" t="str">
        <x:v>BASE</x:v>
      </x:c>
      <x:c r="B55" s="4" t="str">
        <x:v>E23</x:v>
      </x:c>
      <x:c r="C55" s="4" t="str">
        <x:v>전장</x:v>
      </x:c>
      <x:c r="D55" s="20" t="str">
        <x:v>녹/황 보호접지선</x:v>
      </x:c>
      <x:c r="E55" s="20" t="str">
        <x:v>TFR-GV 2.5sq, m단위</x:v>
      </x:c>
      <x:c r="F55" s="16" t="n">
        <x:v>3</x:v>
      </x:c>
      <x:c r="G55" s="16" t="n">
        <x:v>3</x:v>
      </x:c>
      <x:c r="H55" s="4" t="str">
        <x:v>M</x:v>
      </x:c>
      <x:c r="I55" s="4" t="str">
        <x:v>나비엠알오</x:v>
      </x:c>
      <x:c r="J55" s="4" t="str">
        <x:v>K55027039</x:v>
      </x:c>
      <x:c r="K55" s="18" t="n">
        <x:v>1419</x:v>
      </x:c>
      <x:c r="L55" s="18" t="n">
        <x:f>G55*K55</x:f>
        <x:v>4257</x:v>
      </x:c>
      <x:c r="M55" s="20" t="str">
        <x:v>VAT포함 화면가</x:v>
      </x:c>
      <x:c r="N55" s="20" t="str">
        <x:v>재고 확인</x:v>
      </x:c>
      <x:c r="O55" s="20" t="str">
        <x:v>ORDER_BASE</x:v>
      </x:c>
      <x:c r="P55" s="20" t="str">
        <x:v>색상 대체 금지</x:v>
      </x:c>
      <x:c r="Q55" s="20" t="str">
        <x:v>보호접지</x:v>
      </x:c>
      <x:c r="R55" s="20" t="str">
        <x:v>https://www.navimro.com/p/K55027039/</x:v>
      </x:c>
      <x:c r="S55" s="20" t="str">
        <x:v>PE-PSU 섀시-노출 도전부 연결</x:v>
      </x:c>
      <x:c r="T55" s="20" t="str">
        <x:v>2026-09-17</x:v>
      </x:c>
    </x:row>
    <x:row r="56" ht="44" customHeight="1">
      <x:c r="A56" s="4" t="str">
        <x:v>BASE</x:v>
      </x:c>
      <x:c r="B56" s="4" t="str">
        <x:v>E24</x:v>
      </x:c>
      <x:c r="C56" s="4" t="str">
        <x:v>전장</x:v>
      </x:c>
      <x:c r="D56" s="20" t="str">
        <x:v>절연 압착단자 키트</x:v>
      </x:c>
      <x:c r="E56" s="20" t="str">
        <x:v>링/포크 단자 150 pcs</x:v>
      </x:c>
      <x:c r="F56" s="16" t="n">
        <x:v>1</x:v>
      </x:c>
      <x:c r="G56" s="16" t="n">
        <x:v>1</x:v>
      </x:c>
      <x:c r="H56" s="4" t="str">
        <x:v>SET</x:v>
      </x:c>
      <x:c r="I56" s="4" t="str">
        <x:v>나비엠알오</x:v>
      </x:c>
      <x:c r="J56" s="4" t="str">
        <x:v>K92807634</x:v>
      </x:c>
      <x:c r="K56" s="18" t="n">
        <x:v>7249</x:v>
      </x:c>
      <x:c r="L56" s="18" t="n">
        <x:f>G56*K56</x:f>
        <x:v>7249</x:v>
      </x:c>
      <x:c r="M56" s="20" t="str">
        <x:v>VAT포함 화면가</x:v>
      </x:c>
      <x:c r="N56" s="20" t="str">
        <x:v>재고 확인</x:v>
      </x:c>
      <x:c r="O56" s="20" t="str">
        <x:v>CHECKOUT_SIZE</x:v>
      </x:c>
      <x:c r="P56" s="20" t="str">
        <x:v>동등품 허용</x:v>
      </x:c>
      <x:c r="Q56" s="20" t="str">
        <x:v>전력/접지 단자</x:v>
      </x:c>
      <x:c r="R56" s="20" t="str">
        <x:v>https://www.navimro.com/p/K92807634/</x:v>
      </x:c>
      <x:c r="S56" s="20" t="str">
        <x:v>1.5~2.5sq 및 M4/M5 포함 여부 확인</x:v>
      </x:c>
      <x:c r="T56" s="20" t="str">
        <x:v>2026-09-17</x:v>
      </x:c>
    </x:row>
    <x:row r="57" ht="44" customHeight="1">
      <x:c r="A57" s="4" t="str">
        <x:v>BASE</x:v>
      </x:c>
      <x:c r="B57" s="4" t="str">
        <x:v>E25</x:v>
      </x:c>
      <x:c r="C57" s="4" t="str">
        <x:v>전장</x:v>
      </x:c>
      <x:c r="D57" s="20" t="str">
        <x:v>M3 PCB 서포트 키트</x:v>
      </x:c>
      <x:c r="E57" s="20" t="str">
        <x:v>NT-KIT-E018, 플라스틱 M3</x:v>
      </x:c>
      <x:c r="F57" s="16" t="n">
        <x:v>1</x:v>
      </x:c>
      <x:c r="G57" s="16" t="n">
        <x:v>1</x:v>
      </x:c>
      <x:c r="H57" s="4" t="str">
        <x:v>SET</x:v>
      </x:c>
      <x:c r="I57" s="4" t="str">
        <x:v>나비엠알오</x:v>
      </x:c>
      <x:c r="J57" s="4" t="str">
        <x:v>K28009916</x:v>
      </x:c>
      <x:c r="K57" s="18" t="n">
        <x:v>14289</x:v>
      </x:c>
      <x:c r="L57" s="18" t="n">
        <x:f>G57*K57</x:f>
        <x:v>14289</x:v>
      </x:c>
      <x:c r="M57" s="20" t="str">
        <x:v>VAT포함 화면가</x:v>
      </x:c>
      <x:c r="N57" s="20" t="str">
        <x:v>재고 확인</x:v>
      </x:c>
      <x:c r="O57" s="20" t="str">
        <x:v>ORDER_BASE</x:v>
      </x:c>
      <x:c r="P57" s="20" t="str">
        <x:v>동등품 허용</x:v>
      </x:c>
      <x:c r="Q57" s="20" t="str">
        <x:v>제어보드 장착</x:v>
      </x:c>
      <x:c r="R57" s="20" t="str">
        <x:v>https://www.navimro.com/p/K28009916/</x:v>
      </x:c>
      <x:c r="S57" s="20" t="str">
        <x:v>Mega/강압모듈 장착</x:v>
      </x:c>
      <x:c r="T57" s="20" t="str">
        <x:v>2026-09-17</x:v>
      </x:c>
    </x:row>
    <x:row r="58" ht="44" customHeight="1">
      <x:c r="A58" s="4" t="str">
        <x:v>BASE</x:v>
      </x:c>
      <x:c r="B58" s="4" t="str">
        <x:v>E26</x:v>
      </x:c>
      <x:c r="C58" s="4" t="str">
        <x:v>전장</x:v>
      </x:c>
      <x:c r="D58" s="20" t="str">
        <x:v>2.54 mm 점퍼 케이블</x:v>
      </x:c>
      <x:c r="E58" s="20" t="str">
        <x:v>40P M/F, 20 cm, KEYES</x:v>
      </x:c>
      <x:c r="F58" s="16" t="n">
        <x:v>1</x:v>
      </x:c>
      <x:c r="G58" s="16" t="n">
        <x:v>1</x:v>
      </x:c>
      <x:c r="H58" s="4" t="str">
        <x:v>EA</x:v>
      </x:c>
      <x:c r="I58" s="4" t="str">
        <x:v>나비엠알오</x:v>
      </x:c>
      <x:c r="J58" s="4" t="str">
        <x:v>K28006026</x:v>
      </x:c>
      <x:c r="K58" s="18" t="n">
        <x:v>1529</x:v>
      </x:c>
      <x:c r="L58" s="18" t="n">
        <x:f>G58*K58</x:f>
        <x:v>1529</x:v>
      </x:c>
      <x:c r="M58" s="20" t="str">
        <x:v>VAT포함 화면가</x:v>
      </x:c>
      <x:c r="N58" s="20" t="str">
        <x:v>재고 확인</x:v>
      </x:c>
      <x:c r="O58" s="20" t="str">
        <x:v>ORDER_BASE</x:v>
      </x:c>
      <x:c r="P58" s="20" t="str">
        <x:v>동등품 허용</x:v>
      </x:c>
      <x:c r="Q58" s="20" t="str">
        <x:v>Mega 신호배선</x:v>
      </x:c>
      <x:c r="R58" s="20" t="str">
        <x:v>https://www.navimro.com/p/K28006026/</x:v>
      </x:c>
      <x:c r="S58" s="20" t="str">
        <x:v>필요 가닥만 분리 사용</x:v>
      </x:c>
      <x:c r="T58" s="20" t="str">
        <x:v>2026-09-17</x:v>
      </x:c>
    </x:row>
  </x:sheetData>
  <x:conditionalFormatting sqref="A2:A58">
    <x:cfRule type="containsText" dxfId="0" priority="1" operator="containsText" text="OPTION"/>
  </x:conditionalFormatting>
  <x:conditionalFormatting sqref="O2:O58">
    <x:cfRule type="containsText" dxfId="1" priority="2" operator="containsText" text="QUOTE"/>
    <x:cfRule type="containsText" dxfId="2" priority="3" operator="containsText" text="CHECKOUT"/>
    <x:cfRule type="containsText" dxfId="3" priority="4" operator="containsText" text="ORDER"/>
  </x:conditionalFormatting>
  <x:pageMargins left="0.7" right="0.7" top="0.75" bottom="0.75" header="0.3" footer="0.3"/>
  <x:tableParts count="1">
    <x:tablePart xmlns:r="http://schemas.openxmlformats.org/officeDocument/2006/relationships" r:id="Rc748b557bfc046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38" hidden="0" customWidth="1"/>
  </x:cols>
  <x:sheetData>
    <x:row r="1" ht="34" customHeight="1">
      <x:c r="A1" s="26" t="str">
        <x:v>Rev E 전동식 수평유지장치 최종 주문 BOM</x:v>
      </x:c>
      <x:c r="B1" s="26"/>
      <x:c r="C1" s="26"/>
      <x:c r="D1" s="26"/>
      <x:c r="E1" s="26"/>
      <x:c r="F1" s="26"/>
    </x:row>
    <x:row r="2" ht="28" customHeight="1">
      <x:c r="A2" s="32" t="str">
        <x:v>무적재 공개형 PoC · Z 50 mm · pitch/roll ±3° · START 명령 후 자동수평 · 액추에이터 내장 리미트만 사용</x:v>
      </x:c>
      <x:c r="B2" s="32"/>
      <x:c r="C2" s="32"/>
      <x:c r="D2" s="32"/>
      <x:c r="E2" s="32"/>
      <x:c r="F2" s="32"/>
    </x:row>
    <x:row r="3">
      <x:c r="A3" s="63"/>
      <x:c r="B3" s="63"/>
      <x:c r="C3" s="63"/>
      <x:c r="D3" s="63"/>
      <x:c r="E3" s="63"/>
      <x:c r="F3" s="63"/>
    </x:row>
    <x:row r="4">
      <x:c r="A4" s="36" t="str">
        <x:v>기준일</x:v>
      </x:c>
      <x:c r="B4" s="63" t="str">
        <x:v>2026-09-17</x:v>
      </x:c>
      <x:c r="C4" s="63"/>
      <x:c r="D4" s="51" t="str">
        <x:v>공급처</x:v>
      </x:c>
      <x:c r="E4" s="51" t="str">
        <x:v>기본안 상품소계</x:v>
      </x:c>
      <x:c r="F4" s="51" t="str">
        <x:v>배송/납기 메모</x:v>
      </x:c>
    </x:row>
    <x:row r="5">
      <x:c r="A5" s="36" t="str">
        <x:v>기본안 상품소계</x:v>
      </x:c>
      <x:c r="B5" s="64" t="n">
        <x:f>SUMIF('최종BOM'!$A$2:$A$58,"BASE",'최종BOM'!$L$2:$L$58)</x:f>
        <x:v>1495105</x:v>
      </x:c>
      <x:c r="C5" s="63"/>
      <x:c r="D5" s="63" t="str">
        <x:v>모터뱅크</x:v>
      </x:c>
      <x:c r="E5" s="64" t="n">
        <x:f>SUMIFS('최종BOM'!$L$2:$L$58,'최종BOM'!$I$2:$I$58,D5,'최종BOM'!$A$2:$A$58,"BASE")</x:f>
        <x:v>392700</x:v>
      </x:c>
      <x:c r="F5" s="65" t="str">
        <x:v>7~14일, 배송비 결제화면 확인</x:v>
      </x:c>
    </x:row>
    <x:row r="6">
      <x:c r="A6" s="36" t="str">
        <x:v>선택 예비 액추에이터</x:v>
      </x:c>
      <x:c r="B6" s="64" t="n">
        <x:f>SUMIF('최종BOM'!$A$2:$A$58,"OPTION",'최종BOM'!$L$2:$L$58)</x:f>
        <x:v>126500</x:v>
      </x:c>
      <x:c r="C6" s="63"/>
      <x:c r="D6" s="63" t="str">
        <x:v>한국미스미</x:v>
      </x:c>
      <x:c r="E6" s="64" t="n">
        <x:f>SUMIFS('최종BOM'!$L$2:$L$58,'최종BOM'!$I$2:$I$58,D6,'최종BOM'!$A$2:$A$58,"BASE")</x:f>
        <x:v>190736</x:v>
      </x:c>
      <x:c r="F6" s="65" t="str">
        <x:v>PHS6 1일 / 심링·meviy 견적 확인</x:v>
      </x:c>
    </x:row>
    <x:row r="7">
      <x:c r="A7" s="36" t="str">
        <x:v>배송비</x:v>
      </x:c>
      <x:c r="B7" s="63" t="str">
        <x:v>결제화면에서 확정</x:v>
      </x:c>
      <x:c r="C7" s="63"/>
      <x:c r="D7" s="63" t="str">
        <x:v>나비엠알오</x:v>
      </x:c>
      <x:c r="E7" s="64" t="n">
        <x:f>SUMIFS('최종BOM'!$L$2:$L$58,'최종BOM'!$I$2:$I$58,D7,'최종BOM'!$A$2:$A$58,"BASE")</x:f>
        <x:v>595452</x:v>
      </x:c>
      <x:c r="F7" s="65" t="str">
        <x:v>5만원 이상 일반배송 무료이나 절단 프로파일 운임 확인</x:v>
      </x:c>
    </x:row>
    <x:row r="8">
      <x:c r="A8" s="36" t="str">
        <x:v>기본안 BOM 행</x:v>
      </x:c>
      <x:c r="B8" s="63" t="n">
        <x:f>COUNTIF('최종BOM'!$A$2:$A$58,"BASE")</x:f>
        <x:v>56</x:v>
      </x:c>
      <x:c r="C8" s="63"/>
      <x:c r="D8" s="63" t="str">
        <x:v>디바이스마트</x:v>
      </x:c>
      <x:c r="E8" s="64" t="n">
        <x:f>SUMIFS('최종BOM'!$L$2:$L$58,'최종BOM'!$I$2:$I$58,D8,'최종BOM'!$A$2:$A$58,"BASE")</x:f>
        <x:v>316217</x:v>
      </x:c>
      <x:c r="F8" s="65" t="str">
        <x:v>6.6만원 이상 일반배송 무료, 최장 약 2주</x:v>
      </x:c>
    </x:row>
    <x:row r="9">
      <x:c r="A9" s="36" t="str">
        <x:v>옵션 행</x:v>
      </x:c>
      <x:c r="B9" s="63" t="n">
        <x:f>COUNTIF('최종BOM'!$A$2:$A$58,"OPTION")</x:f>
        <x:v>1</x:v>
      </x:c>
      <x:c r="C9" s="63"/>
      <x:c r="D9" s="63"/>
      <x:c r="E9" s="63"/>
      <x:c r="F9" s="63"/>
    </x:row>
    <x:row r="10">
      <x:c r="A10" s="36" t="str">
        <x:v>결제 전 가격/내용 재확인 행</x:v>
      </x:c>
      <x:c r="B10" s="63" t="n">
        <x:f>COUNTIF('최종BOM'!$O$2:$O$58,"CHECKOUT_PRICE")+COUNTIF('최종BOM'!$O$2:$O$58,"CHECKOUT_CONTENT")+COUNTIF('최종BOM'!$O$2:$O$58,"CHECKOUT_SIZE")</x:f>
        <x:v>3</x:v>
      </x:c>
      <x:c r="C10" s="63"/>
      <x:c r="D10" s="63"/>
      <x:c r="E10" s="63"/>
      <x:c r="F10" s="63"/>
    </x:row>
    <x:row r="11">
      <x:c r="A11" s="36" t="str">
        <x:v>가공 견적 행</x:v>
      </x:c>
      <x:c r="B11" s="63" t="n">
        <x:f>COUNTIF('최종BOM'!$O$2:$O$58,"QUOTE_BEFORE_ORDER")</x:f>
        <x:v>3</x:v>
      </x:c>
      <x:c r="C11" s="63"/>
      <x:c r="D11" s="63"/>
      <x:c r="E11" s="63"/>
      <x:c r="F11" s="63"/>
    </x:row>
    <x:row r="12">
      <x:c r="A12" s="36" t="str">
        <x:v>구매 릴리스</x:v>
      </x:c>
      <x:c r="B12" s="45" t="str">
        <x:v>조건부 — 체크리스트 10개 확인 후 결제</x:v>
      </x:c>
      <x:c r="C12" s="63"/>
      <x:c r="D12" s="63"/>
      <x:c r="E12" s="63"/>
      <x:c r="F12" s="63"/>
    </x:row>
    <x:row r="13">
      <x:c r="A13" s="63"/>
      <x:c r="B13" s="63"/>
      <x:c r="C13" s="63"/>
      <x:c r="D13" s="63"/>
      <x:c r="E13" s="63"/>
      <x:c r="F13" s="63"/>
    </x:row>
    <x:row r="14">
      <x:c r="A14" s="49" t="str">
        <x:v>이번 잠금에서 단순화한 결정</x:v>
      </x:c>
      <x:c r="B14" s="49"/>
      <x:c r="C14" s="49"/>
      <x:c r="D14" s="49"/>
      <x:c r="E14" s="49"/>
      <x:c r="F14" s="49"/>
    </x:row>
    <x:row r="15" ht="34" customHeight="1">
      <x:c r="A15" s="61" t="str">
        <x:v>항목</x:v>
      </x:c>
      <x:c r="B15" s="61" t="str">
        <x:v>결정</x:v>
      </x:c>
      <x:c r="C15" s="61" t="str">
        <x:v>이유</x:v>
      </x:c>
      <x:c r="D15" s="61" t="str">
        <x:v>남은 확인</x:v>
      </x:c>
      <x:c r="E15" s="61" t="str">
        <x:v>결제 영향</x:v>
      </x:c>
      <x:c r="F15" s="61" t="str">
        <x:v>상태</x:v>
      </x:c>
    </x:row>
    <x:row r="16" ht="34" customHeight="1">
      <x:c r="A16" s="65" t="str">
        <x:v>PHS6 고정</x:v>
      </x:c>
      <x:c r="B16" s="65" t="str">
        <x:v>M6×20 무두렌치 스터드+SP306+잼너트</x:v>
      </x:c>
      <x:c r="C16" s="65" t="str">
        <x:v>TB306 1000개 포장 제거, 절단·탭가공 없음</x:v>
      </x:c>
      <x:c r="D16" s="65" t="str">
        <x:v>프로파일 슬롯 체결 방향</x:v>
      </x:c>
      <x:c r="E16" s="65" t="str">
        <x:v>없음</x:v>
      </x:c>
      <x:c r="F16" s="65" t="str">
        <x:v>잠금</x:v>
      </x:c>
    </x:row>
    <x:row r="17" ht="34" customHeight="1">
      <x:c r="A17" s="65" t="str">
        <x:v>상부 피벗</x:v>
      </x:c>
      <x:c r="B17" s="65" t="str">
        <x:v>M6×50·M6×55 각 1팩 동시 주문</x:v>
      </x:c>
      <x:c r="C17" s="65" t="str">
        <x:v>실물 폭 편차를 저비용으로 흡수</x:v>
      </x:c>
      <x:c r="D17" s="65" t="str">
        <x:v>입고 후 자유회전 길이 선택</x:v>
      </x:c>
      <x:c r="E17" s="65" t="str">
        <x:v>없음</x:v>
      </x:c>
      <x:c r="F17" s="65" t="str">
        <x:v>잠금</x:v>
      </x:c>
    </x:row>
    <x:row r="18" ht="34" customHeight="1">
      <x:c r="A18" s="65" t="str">
        <x:v>축방향 간격</x:v>
      </x:c>
      <x:c r="B18" s="65" t="str">
        <x:v>CIMR6-12-0.5 12장</x:v>
      </x:c>
      <x:c r="C18" s="65" t="str">
        <x:v>축당 1.5 mm=3장, 3장 예비</x:v>
      </x:c>
      <x:c r="D18" s="65" t="str">
        <x:v>실물 폭 확인</x:v>
      </x:c>
      <x:c r="E18" s="65" t="str">
        <x:v>가격만 재확인</x:v>
      </x:c>
      <x:c r="F18" s="65" t="str">
        <x:v>잠금</x:v>
      </x:c>
    </x:row>
    <x:row r="19" ht="34" customHeight="1">
      <x:c r="A19" s="65" t="str">
        <x:v>스토퍼/리미트</x:v>
      </x:c>
      <x:c r="B19" s="65" t="str">
        <x:v>외부 기계식 스토퍼와 외장 리미트 제외</x:v>
      </x:c>
      <x:c r="C19" s="65" t="str">
        <x:v>사용자 결정: 내장 리미트만 사용</x:v>
      </x:c>
      <x:c r="D19" s="65" t="str">
        <x:v>저속 시운전·STOP 기능</x:v>
      </x:c>
      <x:c r="E19" s="65" t="str">
        <x:v>범위 명시</x:v>
      </x:c>
      <x:c r="F19" s="65" t="str">
        <x:v>잠금</x:v>
      </x:c>
    </x:row>
  </x:sheetData>
  <x:mergeCells>
    <x:mergeCell ref="A1:F1"/>
    <x:mergeCell ref="A2:F2"/>
    <x:mergeCell ref="A1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16" hidden="0" customWidth="1"/>
    <x:col min="5" max="5" width="58" hidden="0" customWidth="1"/>
    <x:col min="6" max="6" width="28" hidden="0" customWidth="1"/>
  </x:cols>
  <x:sheetData>
    <x:row r="1" ht="32" customHeight="1">
      <x:c r="A1" s="69" t="str">
        <x:v>CAD·조립 인터페이스 확인</x:v>
      </x:c>
      <x:c r="B1" s="69"/>
      <x:c r="C1" s="69"/>
      <x:c r="D1" s="69"/>
      <x:c r="E1" s="69"/>
      <x:c r="F1" s="69"/>
    </x:row>
    <x:row r="3">
      <x:c r="A3" s="79" t="str">
        <x:v>검사항목</x:v>
      </x:c>
      <x:c r="B3" s="79" t="str">
        <x:v>기준</x:v>
      </x:c>
      <x:c r="C3" s="79" t="str">
        <x:v>결과</x:v>
      </x:c>
      <x:c r="D3" s="79" t="str">
        <x:v>상태</x:v>
      </x:c>
      <x:c r="E3" s="79" t="str">
        <x:v>근거 파일</x:v>
      </x:c>
      <x:c r="F3" s="79" t="str">
        <x:v>실물 단계</x:v>
      </x:c>
    </x:row>
    <x:row r="4" ht="40" customHeight="1">
      <x:c r="A4" s="80" t="str">
        <x:v>자세 샘플</x:v>
      </x:c>
      <x:c r="B4" s="80" t="str">
        <x:v>Z 0/25/50 × pitch -3/0/+3 × roll -3/0/+3</x:v>
      </x:c>
      <x:c r="C4" s="80" t="str">
        <x:v>27자세</x:v>
      </x:c>
      <x:c r="D4" s="80" t="str">
        <x:v>PASS</x:v>
      </x:c>
      <x:c r="E4" s="80" t="str">
        <x:v>outputs/profile_radial_revE_supplier_interface_2026-09-17/audit/RevE_supplier_interface_audit.json</x:v>
      </x:c>
      <x:c r="F4" s="80" t="str">
        <x:v>입고 후 저속 재확인</x:v>
      </x:c>
    </x:row>
    <x:row r="5" ht="40" customHeight="1">
      <x:c r="A5" s="80" t="str">
        <x:v>핀 중심거리</x:v>
      </x:c>
      <x:c r="B5" s="80" t="str">
        <x:v>205~305 mm 허용</x:v>
      </x:c>
      <x:c r="C5" s="80" t="str">
        <x:v>210.771741~276.937115 mm</x:v>
      </x:c>
      <x:c r="D5" s="80" t="str">
        <x:v>PASS</x:v>
      </x:c>
      <x:c r="E5" s="80" t="str">
        <x:v>동일 audit JSON</x:v>
      </x:c>
      <x:c r="F5" s="80" t="str">
        <x:v>HOME 실측 보정</x:v>
      </x:c>
    </x:row>
    <x:row r="6" ht="40" customHeight="1">
      <x:c r="A6" s="80" t="str">
        <x:v>비의도 충돌</x:v>
      </x:c>
      <x:c r="B6" s="80" t="str">
        <x:v>0 mm³</x:v>
      </x:c>
      <x:c r="C6" s="80" t="str">
        <x:v>최대 0 mm³</x:v>
      </x:c>
      <x:c r="D6" s="80" t="str">
        <x:v>PASS</x:v>
      </x:c>
      <x:c r="E6" s="80" t="str">
        <x:v>동일 audit JSON</x:v>
      </x:c>
      <x:c r="F6" s="80" t="str">
        <x:v>손동작 ±3° 확인</x:v>
      </x:c>
    </x:row>
    <x:row r="7" ht="40" customHeight="1">
      <x:c r="A7" s="80" t="str">
        <x:v>상부 PHS6 간격</x:v>
      </x:c>
      <x:c r="B7" s="80" t="str">
        <x:v>1.5 mm/축</x:v>
      </x:c>
      <x:c r="C7" s="80" t="str">
        <x:v>0.5 mm 심 3장/축</x:v>
      </x:c>
      <x:c r="D7" s="80" t="str">
        <x:v>PASS</x:v>
      </x:c>
      <x:c r="E7" s="80" t="str">
        <x:v>README_KO.md</x:v>
      </x:c>
      <x:c r="F7" s="80" t="str">
        <x:v>캘리퍼로 폭 확인</x:v>
      </x:c>
    </x:row>
    <x:row r="8" ht="40" customHeight="1">
      <x:c r="A8" s="80" t="str">
        <x:v>M6 피벗 길이</x:v>
      </x:c>
      <x:c r="B8" s="80" t="str">
        <x:v>실물 적층+나일론너트 완전 체결</x:v>
      </x:c>
      <x:c r="C8" s="80" t="str">
        <x:v>50/55 mm 두 길이 주문</x:v>
      </x:c>
      <x:c r="D8" s="80" t="str">
        <x:v>COVERED</x:v>
      </x:c>
      <x:c r="E8" s="80" t="str">
        <x:v>BOM F08A/F08B</x:v>
      </x:c>
      <x:c r="F8" s="80" t="str">
        <x:v>자유회전 길이 선택</x:v>
      </x:c>
    </x:row>
    <x:row r="9" ht="40" customHeight="1">
      <x:c r="A9" s="80" t="str">
        <x:v>PHS6-슬롯 체결</x:v>
      </x:c>
      <x:c r="B9" s="80" t="str">
        <x:v>3030 슬롯 M6, 절단 없음</x:v>
      </x:c>
      <x:c r="C9" s="80" t="str">
        <x:v>M6×20 스터드+SP306+잼너트</x:v>
      </x:c>
      <x:c r="D9" s="80" t="str">
        <x:v>PASS-CONCEPT</x:v>
      </x:c>
      <x:c r="E9" s="80" t="str">
        <x:v>BOM F07/F11/F12</x:v>
      </x:c>
      <x:c r="F9" s="80" t="str">
        <x:v>슬롯 구속 확인</x:v>
      </x:c>
    </x:row>
    <x:row r="10" ht="40" customHeight="1">
      <x:c r="A10" s="80" t="str">
        <x:v>X/Y/yaw 구속</x:v>
      </x:c>
      <x:c r="B10" s="80" t="str">
        <x:v>상·하부 프레임과 3축 링크로 눈에 띄는 유격 없음</x:v>
      </x:c>
      <x:c r="C10" s="80" t="str">
        <x:v>CAD 기구구성 유지</x:v>
      </x:c>
      <x:c r="D10" s="80" t="str">
        <x:v>PASS-CONCEPT</x:v>
      </x:c>
      <x:c r="E10" s="80" t="str">
        <x:v>공급품 인터페이스 STEP</x:v>
      </x:c>
      <x:c r="F10" s="80" t="str">
        <x:v>무전원 조립 후 확인</x:v>
      </x:c>
    </x:row>
    <x:row r="11" ht="40" customHeight="1">
      <x:c r="A11" s="80" t="str">
        <x:v>외부 스토퍼/리미트</x:v>
      </x:c>
      <x:c r="B11" s="80" t="str">
        <x:v>사용하지 않음</x:v>
      </x:c>
      <x:c r="C11" s="80" t="str">
        <x:v>액추에이터 내장 리미트만</x:v>
      </x:c>
      <x:c r="D11" s="80" t="str">
        <x:v>SCOPE</x:v>
      </x:c>
      <x:c r="E11" s="80" t="str">
        <x:v>사용자 결정</x:v>
      </x:c>
      <x:c r="F11" s="80" t="str">
        <x:v>축별 저속 확인 필수</x:v>
      </x:c>
    </x:row>
    <x:row r="12" ht="40" customHeight="1">
      <x:c r="A12" s="80" t="str">
        <x:v>사람/적재물</x:v>
      </x:c>
      <x:c r="B12" s="80" t="str">
        <x:v>금지</x:v>
      </x:c>
      <x:c r="C12" s="80" t="str">
        <x:v>자중 시연만</x:v>
      </x:c>
      <x:c r="D12" s="80" t="str">
        <x:v>SCOPE</x:v>
      </x:c>
      <x:c r="E12" s="80" t="str">
        <x:v>요구사항</x:v>
      </x:c>
      <x:c r="F12" s="80" t="str">
        <x:v>결과보고서에 명시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0" hidden="0" customWidth="1"/>
    <x:col min="4" max="4" width="48" hidden="0" customWidth="1"/>
    <x:col min="5" max="5" width="42" hidden="0" customWidth="1"/>
    <x:col min="6" max="6" width="10" hidden="0" customWidth="1"/>
  </x:cols>
  <x:sheetData>
    <x:row r="1" ht="32" customHeight="1">
      <x:c r="A1" s="85" t="str">
        <x:v>결제 직전 확인 — 체크 전 결제 금지</x:v>
      </x:c>
      <x:c r="B1" s="85"/>
      <x:c r="C1" s="85"/>
      <x:c r="D1" s="85"/>
      <x:c r="E1" s="85"/>
      <x:c r="F1" s="85"/>
    </x:row>
    <x:row r="3">
      <x:c r="A3" s="95" t="str">
        <x:v>순서</x:v>
      </x:c>
      <x:c r="B3" s="95" t="str">
        <x:v>사이트</x:v>
      </x:c>
      <x:c r="C3" s="95" t="str">
        <x:v>확인 항목</x:v>
      </x:c>
      <x:c r="D3" s="95" t="str">
        <x:v>판정 기준</x:v>
      </x:c>
      <x:c r="E3" s="95" t="str">
        <x:v>증빙 파일명</x:v>
      </x:c>
      <x:c r="F3" s="95" t="str">
        <x:v>완료</x:v>
      </x:c>
    </x:row>
    <x:row r="4" ht="34" customHeight="1">
      <x:c r="A4" s="96" t="n">
        <x:v>1</x:v>
      </x:c>
      <x:c r="B4" s="96" t="str">
        <x:v>모터뱅크</x:v>
      </x:c>
      <x:c r="C4" s="96" t="str">
        <x:v>LM4075OE 옵션과 수량</x:v>
      </x:c>
      <x:c r="D4" s="96" t="str">
        <x:v>24V / 100mm / encoder 5V / 3EA</x:v>
      </x:c>
      <x:c r="E4" s="96" t="str">
        <x:v>01_motorbank_actuator_cart.png</x:v>
      </x:c>
      <x:c r="F4" s="96" t="str">
        <x:v>□</x:v>
      </x:c>
    </x:row>
    <x:row r="5" ht="34" customHeight="1">
      <x:c r="A5" s="96" t="n">
        <x:v>2</x:v>
      </x:c>
      <x:c r="B5" s="96" t="str">
        <x:v>모터뱅크</x:v>
      </x:c>
      <x:c r="C5" s="96" t="str">
        <x:v>LMB-10 수량과 구성</x:v>
      </x:c>
      <x:c r="D5" s="96" t="str">
        <x:v>LMB-10 / 3SET, 핀·R클립 표시</x:v>
      </x:c>
      <x:c r="E5" s="96" t="str">
        <x:v>02_motorbank_lmb_cart.png</x:v>
      </x:c>
      <x:c r="F5" s="96" t="str">
        <x:v>□</x:v>
      </x:c>
    </x:row>
    <x:row r="6" ht="34" customHeight="1">
      <x:c r="A6" s="96" t="n">
        <x:v>3</x:v>
      </x:c>
      <x:c r="B6" s="96" t="str">
        <x:v>한국미스미</x:v>
      </x:c>
      <x:c r="C6" s="96" t="str">
        <x:v>PHS6 발주코드와 포장</x:v>
      </x:c>
      <x:c r="D6" s="96" t="str">
        <x:v>280-7599 / 2팩 / 팩당2개</x:v>
      </x:c>
      <x:c r="E6" s="96" t="str">
        <x:v>03_misumi_phs6_cart.png</x:v>
      </x:c>
      <x:c r="F6" s="96" t="str">
        <x:v>□</x:v>
      </x:c>
    </x:row>
    <x:row r="7" ht="34" customHeight="1">
      <x:c r="A7" s="96" t="n">
        <x:v>4</x:v>
      </x:c>
      <x:c r="B7" s="96" t="str">
        <x:v>한국미스미</x:v>
      </x:c>
      <x:c r="C7" s="96" t="str">
        <x:v>심링과 meviy 어댑터</x:v>
      </x:c>
      <x:c r="D7" s="96" t="str">
        <x:v>CIMR6-12-0.5 12EA + A1/A2/A3 STEP 견적</x:v>
      </x:c>
      <x:c r="E7" s="96" t="str">
        <x:v>04_misumi_shim_meviy.png</x:v>
      </x:c>
      <x:c r="F7" s="96" t="str">
        <x:v>□</x:v>
      </x:c>
    </x:row>
    <x:row r="8" ht="34" customHeight="1">
      <x:c r="A8" s="96" t="n">
        <x:v>5</x:v>
      </x:c>
      <x:c r="B8" s="96" t="str">
        <x:v>나비엠알오</x:v>
      </x:c>
      <x:c r="C8" s="96" t="str">
        <x:v>프로파일 절단길이와 체결품</x:v>
      </x:c>
      <x:c r="D8" s="96" t="str">
        <x:v>700/620/700/640 mm, F11은 K54185516</x:v>
      </x:c>
      <x:c r="E8" s="96" t="str">
        <x:v>05_navimro_mechanical_cart.png</x:v>
      </x:c>
      <x:c r="F8" s="96" t="str">
        <x:v>□</x:v>
      </x:c>
    </x:row>
    <x:row r="9" ht="34" customHeight="1">
      <x:c r="A9" s="96" t="n">
        <x:v>6</x:v>
      </x:c>
      <x:c r="B9" s="96" t="str">
        <x:v>디바이스마트</x:v>
      </x:c>
      <x:c r="C9" s="96" t="str">
        <x:v>전장 핵심 SKU</x:v>
      </x:c>
      <x:c r="D9" s="96" t="str">
        <x:v>MDD10A×2, LRS-350-24, LY4-D, PTF14A, START/STOP</x:v>
      </x:c>
      <x:c r="E9" s="96" t="str">
        <x:v>06_devicemart_electrical_cart.png</x:v>
      </x:c>
      <x:c r="F9" s="96" t="str">
        <x:v>□</x:v>
      </x:c>
    </x:row>
    <x:row r="10" ht="34" customHeight="1">
      <x:c r="A10" s="96" t="n">
        <x:v>7</x:v>
      </x:c>
      <x:c r="B10" s="96" t="str">
        <x:v>전체</x:v>
      </x:c>
      <x:c r="C10" s="96" t="str">
        <x:v>장기납기/품절</x:v>
      </x:c>
      <x:c r="D10" s="96" t="str">
        <x:v>11월 조립 전에 도착, 형번 임의대체 없음</x:v>
      </x:c>
      <x:c r="E10" s="96" t="str">
        <x:v>07_leadtime_summary.png</x:v>
      </x:c>
      <x:c r="F10" s="96" t="str">
        <x:v>□</x:v>
      </x:c>
    </x:row>
    <x:row r="11" ht="34" customHeight="1">
      <x:c r="A11" s="96" t="n">
        <x:v>8</x:v>
      </x:c>
      <x:c r="B11" s="96" t="str">
        <x:v>전체</x:v>
      </x:c>
      <x:c r="C11" s="96" t="str">
        <x:v>VAT·배송비·총액</x:v>
      </x:c>
      <x:c r="D11" s="96" t="str">
        <x:v>각 장바구니 전체화면 저장</x:v>
      </x:c>
      <x:c r="E11" s="96" t="str">
        <x:v>08_price_shipping_summary.png</x:v>
      </x:c>
      <x:c r="F11" s="96" t="str">
        <x:v>□</x:v>
      </x:c>
    </x:row>
    <x:row r="12" ht="34" customHeight="1">
      <x:c r="A12" s="96" t="n">
        <x:v>9</x:v>
      </x:c>
      <x:c r="B12" s="96" t="str">
        <x:v>전체</x:v>
      </x:c>
      <x:c r="C12" s="96" t="str">
        <x:v>예비 액추에이터</x:v>
      </x:c>
      <x:c r="D12" s="96" t="str">
        <x:v>산단 승인 없으면 M01S 제외</x:v>
      </x:c>
      <x:c r="E12" s="96" t="str">
        <x:v>09_spare_decision.png</x:v>
      </x:c>
      <x:c r="F12" s="96" t="str">
        <x:v>□</x:v>
      </x:c>
    </x:row>
    <x:row r="13" ht="34" customHeight="1">
      <x:c r="A13" s="96" t="n">
        <x:v>10</x:v>
      </x:c>
      <x:c r="B13" s="96" t="str">
        <x:v>전체</x:v>
      </x:c>
      <x:c r="C13" s="96" t="str">
        <x:v>결제 승인</x:v>
      </x:c>
      <x:c r="D13" s="96" t="str">
        <x:v>담당자 검토 후 사용자 카드결제</x:v>
      </x:c>
      <x:c r="E13" s="96" t="str">
        <x:v>10_final_approval.png</x:v>
      </x:c>
      <x:c r="F13" s="96" t="str">
        <x:v>□</x:v>
      </x:c>
    </x:row>
  </x:sheetData>
  <x:mergeCells>
    <x:mergeCell ref="A1:F1"/>
  </x:mergeCells>
  <x:pageMargins left="0.7" right="0.7" top="0.75" bottom="0.75" header="0.3" footer="0.3"/>
</x:worksheet>
</file>