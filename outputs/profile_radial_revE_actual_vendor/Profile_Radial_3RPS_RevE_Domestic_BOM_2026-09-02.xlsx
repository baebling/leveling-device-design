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3f046f37c84a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f01364a9a9c74114"/>
    <x:sheet xmlns:r="http://schemas.openxmlformats.org/officeDocument/2006/relationships" name="Summary" sheetId="2" r:id="Ref7f7decf06143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₩#,##0"/>
    <x:numFmt numFmtId="201" formatCode="0"/>
  </x:numFmts>
  <x:fonts count="1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243447"/>
      <x:name val="Carlito"/>
    </x:font>
    <x:font>
      <x:b/>
      <x:sz val="11"/>
      <x:color rgb="FFA61B1B"/>
      <x:name val="Carlito"/>
    </x:font>
    <x:font>
      <x:b/>
      <x:sz val="11"/>
      <x:color rgb="FFFFFFFF"/>
      <x:name val="Carlito"/>
    </x:font>
    <x:font>
      <x:sz val="11"/>
      <x:color rgb="FF21362F"/>
      <x:name val="Carlito"/>
    </x:font>
    <x:font>
      <x:b/>
      <x:sz val="11"/>
      <x:color rgb="FF21362F"/>
      <x:name val="Carlito"/>
    </x:font>
    <x:font>
      <x:b/>
      <x:sz val="16"/>
      <x:color rgb="FFFFFFFF"/>
      <x:name val="Malgun Gothic"/>
    </x:font>
    <x:font>
      <x:sz val="11"/>
      <x:name val="Malgun Gothic"/>
    </x:font>
    <x:font>
      <x:b/>
      <x:sz val="11"/>
      <x:color rgb="FF243447"/>
      <x:name val="Malgun Gothic"/>
    </x:font>
    <x:font>
      <x:b/>
      <x:sz val="11"/>
      <x:color rgb="FFA61B1B"/>
      <x:name val="Malgun Gothic"/>
    </x:font>
    <x:font>
      <x:b/>
      <x:sz val="11"/>
      <x:color rgb="FFFFFFFF"/>
      <x:name val="Malgun Gothic"/>
    </x:font>
    <x:font>
      <x:sz val="11"/>
      <x:color rgb="FF21362F"/>
      <x:name val="Malgun Gothic"/>
    </x:font>
    <x:font>
      <x:b/>
      <x:sz val="11"/>
      <x:color rgb="FF21362F"/>
      <x:name val="Malgun Gothic"/>
    </x:font>
    <x:font>
      <x:sz val="9"/>
      <x:name val="Malgun Gothic"/>
    </x:font>
    <x:font>
      <x:b/>
      <x:sz val="9"/>
      <x:color rgb="FFFFFFFF"/>
      <x:name val="Malgun Gothic"/>
    </x:font>
  </x:fonts>
  <x:fills count="8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E8EEF4"/>
      </x:patternFill>
    </x:fill>
    <x:fill>
      <x:patternFill patternType="solid">
        <x:fgColor rgb="FFFDECEC"/>
      </x:patternFill>
    </x:fill>
    <x:fill>
      <x:patternFill patternType="solid">
        <x:fgColor rgb="FF2F6F62"/>
      </x:patternFill>
    </x:fill>
    <x:fill>
      <x:patternFill patternType="solid">
        <x:fgColor rgb="FFF2F7F5"/>
      </x:patternFill>
    </x:fill>
    <x:fill>
      <x:patternFill patternType="solid">
        <x:fgColor rgb="FFD7E6E1"/>
      </x:patternFill>
    </x:fill>
  </x:fills>
  <x:borders count="18">
    <x:border/>
    <x:border/>
    <x:border>
      <x:left style="thin">
        <x:color rgb="FF9CB9AF"/>
      </x:left>
      <x:top style="thin">
        <x:color rgb="FF9CB9AF"/>
      </x:top>
    </x:border>
    <x:border>
      <x:top style="thin">
        <x:color rgb="FF9CB9AF"/>
      </x:top>
    </x:border>
    <x:border>
      <x:right style="thin">
        <x:color rgb="FF9CB9AF"/>
      </x:right>
      <x:top style="thin">
        <x:color rgb="FF9CB9AF"/>
      </x:top>
    </x:border>
    <x:border>
      <x:left style="thin">
        <x:color rgb="FF9CB9AF"/>
      </x:left>
    </x:border>
    <x:border>
      <x:right style="thin">
        <x:color rgb="FF9CB9AF"/>
      </x:right>
    </x:border>
    <x:border>
      <x:left style="thin">
        <x:color rgb="FF9CB9AF"/>
      </x:left>
      <x:bottom style="thin">
        <x:color rgb="FF9CB9AF"/>
      </x:bottom>
    </x:border>
    <x:border>
      <x:bottom style="thin">
        <x:color rgb="FF9CB9AF"/>
      </x:bottom>
    </x:border>
    <x:border>
      <x:right style="thin">
        <x:color rgb="FF9CB9AF"/>
      </x:right>
      <x:bottom style="thin">
        <x:color rgb="FF9CB9AF"/>
      </x:bottom>
    </x:border>
    <x:border>
      <x:left style="thin">
        <x:color rgb="FF9CB9AF"/>
      </x:left>
      <x:top style="thin">
        <x:color rgb="FF9CB9AF"/>
      </x:top>
    </x:border>
    <x:border>
      <x:top style="thin">
        <x:color rgb="FF9CB9AF"/>
      </x:top>
    </x:border>
    <x:border>
      <x:right style="thin">
        <x:color rgb="FF9CB9AF"/>
      </x:right>
      <x:top style="thin">
        <x:color rgb="FF9CB9AF"/>
      </x:top>
    </x:border>
    <x:border>
      <x:left style="thin">
        <x:color rgb="FF9CB9AF"/>
      </x:left>
    </x:border>
    <x:border>
      <x:right style="thin">
        <x:color rgb="FF9CB9AF"/>
      </x:right>
    </x:border>
    <x:border>
      <x:left style="thin">
        <x:color rgb="FF9CB9AF"/>
      </x:left>
      <x:bottom style="thin">
        <x:color rgb="FF9CB9AF"/>
      </x:bottom>
    </x:border>
    <x:border>
      <x:bottom style="thin">
        <x:color rgb="FF9CB9AF"/>
      </x:bottom>
    </x:border>
    <x:border>
      <x:right style="thin">
        <x:color rgb="FF9CB9AF"/>
      </x:right>
      <x:bottom style="thin">
        <x:color rgb="FF9CB9AF"/>
      </x:bottom>
    </x:border>
  </x:borders>
  <x:cellStyleXfs count="1">
    <x:xf numFmtId="0" fontId="0" fillId="0" borderId="0"/>
  </x:cellStyleXfs>
  <x:cellXfs count="1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  <x:xf numFmtId="0" fontId="5" fillId="6" borderId="9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5" fillId="6" borderId="11" xfId="0" applyNumberFormat="1" applyFont="1" applyFill="1" applyBorder="1" applyAlignment="1">
      <x:alignment vertical="top" wrapText="1"/>
    </x:xf>
    <x:xf numFmtId="0" fontId="5" fillId="6" borderId="12" xfId="0" applyNumberFormat="1" applyFont="1" applyFill="1" applyBorder="1" applyAlignment="1">
      <x:alignment vertical="top" wrapText="1"/>
    </x:xf>
    <x:xf numFmtId="0" fontId="5" fillId="6" borderId="13" xfId="0" applyNumberFormat="1" applyFont="1" applyFill="1" applyBorder="1" applyAlignment="1">
      <x:alignment vertical="top" wrapText="1"/>
    </x:xf>
    <x:xf numFmtId="0" fontId="5" fillId="6" borderId="14" xfId="0" applyNumberFormat="1" applyFont="1" applyFill="1" applyBorder="1" applyAlignment="1">
      <x:alignment vertical="top" wrapText="1"/>
    </x:xf>
    <x:xf numFmtId="0" fontId="5" fillId="6" borderId="15" xfId="0" applyNumberFormat="1" applyFont="1" applyFill="1" applyBorder="1" applyAlignment="1">
      <x:alignment vertical="top" wrapText="1"/>
    </x:xf>
    <x:xf numFmtId="0" fontId="5" fillId="6" borderId="16" xfId="0" applyNumberFormat="1" applyFont="1" applyFill="1" applyBorder="1" applyAlignment="1">
      <x:alignment vertical="top" wrapText="1"/>
    </x:xf>
    <x:xf numFmtId="0" fontId="5" fillId="6" borderId="17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9" fillId="3" borderId="0" xfId="0" applyNumberFormat="1" applyFont="1" applyFill="1" applyBorder="1"/>
    <x:xf numFmtId="200" fontId="8" fillId="0" borderId="0" xfId="0" applyNumberFormat="1" applyFont="1" applyFill="1" applyBorder="1"/>
    <x:xf numFmtId="201" fontId="8" fillId="0" borderId="0" xfId="0" applyNumberFormat="1" applyFont="1" applyFill="1" applyBorder="1"/>
    <x:xf numFmtId="0" fontId="10" fillId="4" borderId="0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  <x:xf numFmtId="0" fontId="12" fillId="6" borderId="2" xfId="0" applyNumberFormat="1" applyFont="1" applyFill="1" applyBorder="1" applyAlignment="1">
      <x:alignment vertical="top" wrapText="1"/>
    </x:xf>
    <x:xf numFmtId="0" fontId="12" fillId="6" borderId="3" xfId="0" applyNumberFormat="1" applyFont="1" applyFill="1" applyBorder="1" applyAlignment="1">
      <x:alignment vertical="top" wrapText="1"/>
    </x:xf>
    <x:xf numFmtId="0" fontId="12" fillId="6" borderId="4" xfId="0" applyNumberFormat="1" applyFont="1" applyFill="1" applyBorder="1" applyAlignment="1">
      <x:alignment vertical="top" wrapText="1"/>
    </x:xf>
    <x:xf numFmtId="0" fontId="12" fillId="6" borderId="5" xfId="0" applyNumberFormat="1" applyFont="1" applyFill="1" applyBorder="1" applyAlignment="1">
      <x:alignment vertical="top" wrapText="1"/>
    </x:xf>
    <x:xf numFmtId="0" fontId="12" fillId="6" borderId="0" xfId="0" applyNumberFormat="1" applyFont="1" applyFill="1" applyBorder="1" applyAlignment="1">
      <x:alignment vertical="top" wrapText="1"/>
    </x:xf>
    <x:xf numFmtId="0" fontId="12" fillId="6" borderId="6" xfId="0" applyNumberFormat="1" applyFont="1" applyFill="1" applyBorder="1" applyAlignment="1">
      <x:alignment vertical="top" wrapText="1"/>
    </x:xf>
    <x:xf numFmtId="0" fontId="12" fillId="6" borderId="7" xfId="0" applyNumberFormat="1" applyFont="1" applyFill="1" applyBorder="1" applyAlignment="1">
      <x:alignment vertical="top" wrapText="1"/>
    </x:xf>
    <x:xf numFmtId="0" fontId="12" fillId="6" borderId="8" xfId="0" applyNumberFormat="1" applyFont="1" applyFill="1" applyBorder="1" applyAlignment="1">
      <x:alignment vertical="top" wrapText="1"/>
    </x:xf>
    <x:xf numFmtId="0" fontId="12" fillId="6" borderId="9" xfId="0" applyNumberFormat="1" applyFont="1" applyFill="1" applyBorder="1" applyAlignment="1">
      <x:alignment vertical="top" wrapText="1"/>
    </x:xf>
    <x:xf numFmtId="0" fontId="13" fillId="7" borderId="0" xfId="0" applyNumberFormat="1" applyFont="1" applyFill="1" applyBorder="1"/>
    <x:xf numFmtId="0" fontId="7" fillId="2" borderId="1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/>
    <x:xf numFmtId="0" fontId="9" fillId="3" borderId="1" xfId="0" applyNumberFormat="1" applyFont="1" applyFill="1" applyBorder="1"/>
    <x:xf numFmtId="200" fontId="8" fillId="0" borderId="1" xfId="0" applyNumberFormat="1" applyFont="1" applyFill="1" applyBorder="1"/>
    <x:xf numFmtId="201" fontId="8" fillId="0" borderId="1" xfId="0" applyNumberFormat="1" applyFont="1" applyFill="1" applyBorder="1"/>
    <x:xf numFmtId="0" fontId="10" fillId="4" borderId="1" xfId="0" applyNumberFormat="1" applyFont="1" applyFill="1" applyBorder="1" applyAlignment="1">
      <x:alignment horizontal="center"/>
    </x:xf>
    <x:xf numFmtId="0" fontId="11" fillId="5" borderId="1" xfId="0" applyNumberFormat="1" applyFont="1" applyFill="1" applyBorder="1"/>
    <x:xf numFmtId="0" fontId="12" fillId="6" borderId="10" xfId="0" applyNumberFormat="1" applyFont="1" applyFill="1" applyBorder="1" applyAlignment="1">
      <x:alignment vertical="top" wrapText="1"/>
    </x:xf>
    <x:xf numFmtId="0" fontId="12" fillId="6" borderId="11" xfId="0" applyNumberFormat="1" applyFont="1" applyFill="1" applyBorder="1" applyAlignment="1">
      <x:alignment vertical="top" wrapText="1"/>
    </x:xf>
    <x:xf numFmtId="0" fontId="12" fillId="6" borderId="12" xfId="0" applyNumberFormat="1" applyFont="1" applyFill="1" applyBorder="1" applyAlignment="1">
      <x:alignment vertical="top" wrapText="1"/>
    </x:xf>
    <x:xf numFmtId="0" fontId="12" fillId="6" borderId="13" xfId="0" applyNumberFormat="1" applyFont="1" applyFill="1" applyBorder="1" applyAlignment="1">
      <x:alignment vertical="top" wrapText="1"/>
    </x:xf>
    <x:xf numFmtId="0" fontId="12" fillId="6" borderId="1" xfId="0" applyNumberFormat="1" applyFont="1" applyFill="1" applyBorder="1" applyAlignment="1">
      <x:alignment vertical="top" wrapText="1"/>
    </x:xf>
    <x:xf numFmtId="0" fontId="12" fillId="6" borderId="14" xfId="0" applyNumberFormat="1" applyFont="1" applyFill="1" applyBorder="1" applyAlignment="1">
      <x:alignment vertical="top" wrapText="1"/>
    </x:xf>
    <x:xf numFmtId="0" fontId="12" fillId="6" borderId="15" xfId="0" applyNumberFormat="1" applyFont="1" applyFill="1" applyBorder="1" applyAlignment="1">
      <x:alignment vertical="top" wrapText="1"/>
    </x:xf>
    <x:xf numFmtId="0" fontId="12" fillId="6" borderId="16" xfId="0" applyNumberFormat="1" applyFont="1" applyFill="1" applyBorder="1" applyAlignment="1">
      <x:alignment vertical="top" wrapText="1"/>
    </x:xf>
    <x:xf numFmtId="0" fontId="12" fillId="6" borderId="17" xfId="0" applyNumberFormat="1" applyFont="1" applyFill="1" applyBorder="1" applyAlignment="1">
      <x:alignment vertical="top" wrapText="1"/>
    </x:xf>
    <x:xf numFmtId="0" fontId="13" fillId="7" borderId="1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horizontal="center" vertical="center"/>
    </x:xf>
    <x:xf numFmtId="0" fontId="11" fillId="5" borderId="0" xfId="0" applyNumberFormat="1" applyFont="1" applyFill="1" applyBorder="1" applyAlignment="1">
      <x:alignment vertical="center"/>
    </x:xf>
    <x:xf numFmtId="0" fontId="12" fillId="6" borderId="2" xfId="0" applyNumberFormat="1" applyFont="1" applyFill="1" applyBorder="1" applyAlignment="1">
      <x:alignment vertical="center" wrapText="1"/>
    </x:xf>
    <x:xf numFmtId="0" fontId="12" fillId="6" borderId="3" xfId="0" applyNumberFormat="1" applyFont="1" applyFill="1" applyBorder="1" applyAlignment="1">
      <x:alignment vertical="center" wrapText="1"/>
    </x:xf>
    <x:xf numFmtId="0" fontId="12" fillId="6" borderId="4" xfId="0" applyNumberFormat="1" applyFont="1" applyFill="1" applyBorder="1" applyAlignment="1">
      <x:alignment vertical="center" wrapText="1"/>
    </x:xf>
    <x:xf numFmtId="0" fontId="12" fillId="6" borderId="5" xfId="0" applyNumberFormat="1" applyFont="1" applyFill="1" applyBorder="1" applyAlignment="1">
      <x:alignment vertical="center" wrapText="1"/>
    </x:xf>
    <x:xf numFmtId="0" fontId="12" fillId="6" borderId="0" xfId="0" applyNumberFormat="1" applyFont="1" applyFill="1" applyBorder="1" applyAlignment="1">
      <x:alignment vertical="center" wrapText="1"/>
    </x:xf>
    <x:xf numFmtId="0" fontId="12" fillId="6" borderId="6" xfId="0" applyNumberFormat="1" applyFont="1" applyFill="1" applyBorder="1" applyAlignment="1">
      <x:alignment vertical="center" wrapText="1"/>
    </x:xf>
    <x:xf numFmtId="0" fontId="12" fillId="6" borderId="7" xfId="0" applyNumberFormat="1" applyFont="1" applyFill="1" applyBorder="1" applyAlignment="1">
      <x:alignment vertical="center" wrapText="1"/>
    </x:xf>
    <x:xf numFmtId="0" fontId="12" fillId="6" borderId="8" xfId="0" applyNumberFormat="1" applyFont="1" applyFill="1" applyBorder="1" applyAlignment="1">
      <x:alignment vertical="center" wrapText="1"/>
    </x:xf>
    <x:xf numFmtId="0" fontId="12" fillId="6" borderId="9" xfId="0" applyNumberFormat="1" applyFont="1" applyFill="1" applyBorder="1" applyAlignment="1">
      <x:alignment vertical="center" wrapText="1"/>
    </x:xf>
    <x:xf numFmtId="0" fontId="13" fillId="7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 applyAlignment="1">
      <x:alignment vertical="center"/>
    </x:xf>
    <x:xf numFmtId="200" fontId="8" fillId="0" borderId="1" xfId="0" applyNumberFormat="1" applyFont="1" applyFill="1" applyBorder="1" applyAlignment="1">
      <x:alignment vertical="center"/>
    </x:xf>
    <x:xf numFmtId="201" fontId="8" fillId="0" borderId="1" xfId="0" applyNumberFormat="1" applyFont="1" applyFill="1" applyBorder="1" applyAlignment="1">
      <x:alignment vertical="center"/>
    </x:xf>
    <x:xf numFmtId="0" fontId="10" fillId="4" borderId="1" xfId="0" applyNumberFormat="1" applyFont="1" applyFill="1" applyBorder="1" applyAlignment="1">
      <x:alignment horizontal="center" vertical="center"/>
    </x:xf>
    <x:xf numFmtId="0" fontId="11" fillId="5" borderId="1" xfId="0" applyNumberFormat="1" applyFont="1" applyFill="1" applyBorder="1" applyAlignment="1">
      <x:alignment vertical="center"/>
    </x:xf>
    <x:xf numFmtId="0" fontId="12" fillId="6" borderId="10" xfId="0" applyNumberFormat="1" applyFont="1" applyFill="1" applyBorder="1" applyAlignment="1">
      <x:alignment vertical="center" wrapText="1"/>
    </x:xf>
    <x:xf numFmtId="0" fontId="12" fillId="6" borderId="11" xfId="0" applyNumberFormat="1" applyFont="1" applyFill="1" applyBorder="1" applyAlignment="1">
      <x:alignment vertical="center" wrapText="1"/>
    </x:xf>
    <x:xf numFmtId="0" fontId="12" fillId="6" borderId="12" xfId="0" applyNumberFormat="1" applyFont="1" applyFill="1" applyBorder="1" applyAlignment="1">
      <x:alignment vertical="center" wrapText="1"/>
    </x:xf>
    <x:xf numFmtId="0" fontId="12" fillId="6" borderId="13" xfId="0" applyNumberFormat="1" applyFont="1" applyFill="1" applyBorder="1" applyAlignment="1">
      <x:alignment vertical="center" wrapText="1"/>
    </x:xf>
    <x:xf numFmtId="0" fontId="12" fillId="6" borderId="1" xfId="0" applyNumberFormat="1" applyFont="1" applyFill="1" applyBorder="1" applyAlignment="1">
      <x:alignment vertical="center" wrapText="1"/>
    </x:xf>
    <x:xf numFmtId="0" fontId="12" fillId="6" borderId="14" xfId="0" applyNumberFormat="1" applyFont="1" applyFill="1" applyBorder="1" applyAlignment="1">
      <x:alignment vertical="center" wrapText="1"/>
    </x:xf>
    <x:xf numFmtId="0" fontId="12" fillId="6" borderId="15" xfId="0" applyNumberFormat="1" applyFont="1" applyFill="1" applyBorder="1" applyAlignment="1">
      <x:alignment vertical="center" wrapText="1"/>
    </x:xf>
    <x:xf numFmtId="0" fontId="12" fillId="6" borderId="16" xfId="0" applyNumberFormat="1" applyFont="1" applyFill="1" applyBorder="1" applyAlignment="1">
      <x:alignment vertical="center" wrapText="1"/>
    </x:xf>
    <x:xf numFmtId="0" fontId="12" fillId="6" borderId="17" xfId="0" applyNumberFormat="1" applyFont="1" applyFill="1" applyBorder="1" applyAlignment="1">
      <x:alignment vertical="center" wrapText="1"/>
    </x:xf>
    <x:xf numFmtId="0" fontId="13" fillId="7" borderId="1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/>
    <x:xf numFmtId="0" fontId="14" fillId="0" borderId="1" xfId="0" applyNumberFormat="1" applyFont="1" applyFill="1" applyBorder="1"/>
    <x:xf numFmtId="0" fontId="14" fillId="0" borderId="0" xfId="0" applyNumberFormat="1" applyFont="1" applyFill="1" applyBorder="1" applyAlignment="1">
      <x:alignment vertical="top"/>
    </x:xf>
    <x:xf numFmtId="0" fontId="14" fillId="0" borderId="1" xfId="0" applyNumberFormat="1" applyFont="1" applyFill="1" applyBorder="1" applyAlignment="1">
      <x:alignment vertical="top"/>
    </x:xf>
    <x:xf numFmtId="0" fontId="14" fillId="2" borderId="0" xfId="0" applyNumberFormat="1" applyFont="1" applyFill="1" applyBorder="1" applyAlignment="1">
      <x:alignment vertical="top"/>
    </x:xf>
    <x:xf numFmtId="0" fontId="14" fillId="2" borderId="1" xfId="0" applyNumberFormat="1" applyFont="1" applyFill="1" applyBorder="1" applyAlignment="1">
      <x:alignment vertical="top"/>
    </x:xf>
    <x:xf numFmtId="0" fontId="15" fillId="2" borderId="0" xfId="0" applyNumberFormat="1" applyFont="1" applyFill="1" applyBorder="1" applyAlignment="1">
      <x:alignment vertical="top"/>
    </x:xf>
    <x:xf numFmtId="0" fontId="15" fillId="2" borderId="1" xfId="0" applyNumberFormat="1" applyFont="1" applyFill="1" applyBorder="1" applyAlignment="1">
      <x:alignment vertical="top"/>
    </x:xf>
    <x:xf numFmtId="0" fontId="15" fillId="2" borderId="0" xfId="0" applyNumberFormat="1" applyFont="1" applyFill="1" applyBorder="1" applyAlignment="1">
      <x:alignment vertical="top" wrapText="1"/>
    </x:xf>
    <x:xf numFmtId="0" fontId="15" fillId="2" borderId="1" xfId="0" applyNumberFormat="1" applyFont="1" applyFill="1" applyBorder="1" applyAlignment="1">
      <x:alignment vertical="top" wrapText="1"/>
    </x:xf>
    <x:xf numFmtId="0" fontId="15" fillId="2" borderId="0" xfId="0" applyNumberFormat="1" applyFont="1" applyFill="1" applyBorder="1" applyAlignment="1">
      <x:alignment horizontal="center" vertical="top" wrapText="1"/>
    </x:xf>
    <x:xf numFmtId="0" fontId="15" fillId="2" borderId="1" xfId="0" applyNumberFormat="1" applyFont="1" applyFill="1" applyBorder="1" applyAlignment="1">
      <x:alignment horizontal="center" vertical="top" wrapText="1"/>
    </x:xf>
    <x:xf numFmtId="0" fontId="15" fillId="2" borderId="0" xfId="0" applyNumberFormat="1" applyFont="1" applyFill="1" applyBorder="1" applyAlignment="1">
      <x:alignment horizontal="center" vertical="center" wrapText="1"/>
    </x:xf>
    <x:xf numFmtId="0" fontId="15" fillId="2" borderId="1" xfId="0" applyNumberFormat="1" applyFont="1" applyFill="1" applyBorder="1" applyAlignment="1">
      <x:alignment horizontal="center" vertical="center" wrapText="1"/>
    </x:xf>
    <x:xf numFmtId="200" fontId="14" fillId="0" borderId="0" xfId="0" applyNumberFormat="1" applyFont="1" applyFill="1" applyBorder="1" applyAlignment="1">
      <x:alignment vertical="top"/>
    </x:xf>
    <x:xf numFmtId="200" fontId="14" fillId="0" borderId="1" xfId="0" applyNumberFormat="1" applyFont="1" applyFill="1" applyBorder="1" applyAlignment="1">
      <x:alignment vertical="top"/>
    </x:xf>
    <x:xf numFmtId="201" fontId="14" fillId="0" borderId="0" xfId="0" applyNumberFormat="1" applyFont="1" applyFill="1" applyBorder="1" applyAlignment="1">
      <x:alignment vertical="top"/>
    </x:xf>
    <x:xf numFmtId="201" fontId="14" fillId="0" borderId="1" xfId="0" applyNumberFormat="1" applyFont="1" applyFill="1" applyBorder="1" applyAlignment="1">
      <x:alignment vertical="top"/>
    </x:xf>
    <x:xf numFmtId="0" fontId="14" fillId="0" borderId="0" xfId="0" applyNumberFormat="1" applyFont="1" applyFill="1" applyBorder="1" applyAlignment="1">
      <x:alignment vertical="top" wrapText="1"/>
    </x:xf>
    <x:xf numFmtId="0" fontId="1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A61B1B"/>
      </x:font>
      <x:fill>
        <x:patternFill patternType="solid">
          <x:bgColor rgb="FFFDECEC"/>
        </x:patternFill>
      </x:fill>
    </x:dxf>
    <x:dxf>
      <x:font>
        <x:b/>
        <x:color rgb="FF185D86"/>
      </x:font>
      <x:fill>
        <x:patternFill patternType="solid">
          <x:bgColor rgb="FFE6F1F8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2d0613257d4f3a" /><Relationship Type="http://schemas.openxmlformats.org/officeDocument/2006/relationships/theme" Target="/xl/theme/theme1.xml" Id="Rba44f2bbb9ad41e4" /><Relationship Type="http://schemas.openxmlformats.org/officeDocument/2006/relationships/sharedStrings" Target="/xl/sharedStrings.xml" Id="R2d9e073df78241cf" /><Relationship Type="http://schemas.openxmlformats.org/officeDocument/2006/relationships/worksheet" Target="/xl/worksheets/sheet1.xml" Id="Rf01364a9a9c74114" /><Relationship Type="http://schemas.openxmlformats.org/officeDocument/2006/relationships/worksheet" Target="/xl/worksheets/sheet2.xml" Id="Ref7f7decf0614358" /></Relationships>
</file>

<file path=xl/tables/table1.xml><?xml version="1.0" encoding="utf-8"?>
<x:table xmlns:x="http://schemas.openxmlformats.org/spreadsheetml/2006/main" id="1" name="RevEDomesticBOM" displayName="RevEDomesticBOM" ref="A1:P61" headerRowCount="1" totalsRowCount="0" totalsRowShown="0">
  <x:autoFilter ref="A1:P61"/>
  <x:tableColumns count="16">
    <x:tableColumn id="1" name="bom_id"/>
    <x:tableColumn id="2" name="system"/>
    <x:tableColumn id="3" name="assembly"/>
    <x:tableColumn id="4" name="item"/>
    <x:tableColumn id="5" name="specification"/>
    <x:tableColumn id="6" name="used_qty"/>
    <x:tableColumn id="7" name="order_qty"/>
    <x:tableColumn id="8" name="order_unit"/>
    <x:tableColumn id="9" name="supplier"/>
    <x:tableColumn id="10" name="supplier_code"/>
    <x:tableColumn id="11" name="unit_price_krw_screen"/>
    <x:tableColumn id="12" name="extended_price_krw_screen"/>
    <x:tableColumn id="13" name="price_status"/>
    <x:tableColumn id="14" name="procurement_status"/>
    <x:tableColumn id="15" name="product_url"/>
    <x:tableColumn id="16" name="installation_or_cut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aa178fcc604c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0" hidden="0" customWidth="1"/>
    <x:col min="4" max="4" width="24" hidden="0" customWidth="1"/>
    <x:col min="5" max="5" width="52" hidden="0" customWidth="1"/>
    <x:col min="6" max="6" width="10" hidden="0" customWidth="1"/>
    <x:col min="7" max="7" width="10" hidden="0" customWidth="1"/>
    <x:col min="8" max="8" width="12" hidden="0" customWidth="1"/>
    <x:col min="9" max="9" width="16" hidden="0" customWidth="1"/>
    <x:col min="10" max="10" width="24" hidden="0" customWidth="1"/>
    <x:col min="11" max="11" width="15" hidden="0" customWidth="1"/>
    <x:col min="12" max="12" width="17" hidden="0" customWidth="1"/>
    <x:col min="13" max="13" width="22" hidden="0" customWidth="1"/>
    <x:col min="14" max="14" width="32" hidden="0" customWidth="1"/>
    <x:col min="15" max="15" width="45" hidden="0" customWidth="1"/>
    <x:col min="16" max="16" width="58" hidden="0" customWidth="1"/>
  </x:cols>
  <x:sheetData>
    <x:row r="1" ht="36" customHeight="1">
      <x:c r="A1" s="133" t="str">
        <x:v>bom_id</x:v>
      </x:c>
      <x:c r="B1" s="133" t="str">
        <x:v>system</x:v>
      </x:c>
      <x:c r="C1" s="133" t="str">
        <x:v>assembly</x:v>
      </x:c>
      <x:c r="D1" s="133" t="str">
        <x:v>item</x:v>
      </x:c>
      <x:c r="E1" s="133" t="str">
        <x:v>specification</x:v>
      </x:c>
      <x:c r="F1" s="133" t="str">
        <x:v>used_qty</x:v>
      </x:c>
      <x:c r="G1" s="133" t="str">
        <x:v>order_qty</x:v>
      </x:c>
      <x:c r="H1" s="133" t="str">
        <x:v>order_unit</x:v>
      </x:c>
      <x:c r="I1" s="133" t="str">
        <x:v>supplier</x:v>
      </x:c>
      <x:c r="J1" s="133" t="str">
        <x:v>supplier_code</x:v>
      </x:c>
      <x:c r="K1" s="133" t="str">
        <x:v>unit_price_krw_screen</x:v>
      </x:c>
      <x:c r="L1" s="133" t="str">
        <x:v>extended_price_krw_screen</x:v>
      </x:c>
      <x:c r="M1" s="133" t="str">
        <x:v>price_status</x:v>
      </x:c>
      <x:c r="N1" s="133" t="str">
        <x:v>procurement_status</x:v>
      </x:c>
      <x:c r="O1" s="133" t="str">
        <x:v>product_url</x:v>
      </x:c>
      <x:c r="P1" s="133" t="str">
        <x:v>installation_or_cut_note</x:v>
      </x:c>
    </x:row>
    <x:row r="2" ht="42" customHeight="1">
      <x:c r="A2" s="139" t="str">
        <x:v>S01</x:v>
      </x:c>
      <x:c r="B2" s="139" t="str">
        <x:v>구조</x:v>
      </x:c>
      <x:c r="C2" s="139" t="str">
        <x:v>하부 프레임</x:v>
      </x:c>
      <x:c r="D2" s="139" t="str">
        <x:v>알루미늄 프로파일</x:v>
      </x:c>
      <x:c r="E2" s="139" t="str">
        <x:v>DNF4040/M8, 40x40, 700 mm, 흑색, 직각 절단</x:v>
      </x:c>
      <x:c r="F2" s="137" t="n">
        <x:v>2</x:v>
      </x:c>
      <x:c r="G2" s="137" t="n">
        <x:v>2</x:v>
      </x:c>
      <x:c r="H2" s="123" t="str">
        <x:v>EA</x:v>
      </x:c>
      <x:c r="I2" s="123" t="str">
        <x:v>NAVIMRO</x:v>
      </x:c>
      <x:c r="J2" s="123" t="str">
        <x:v>K92787708</x:v>
      </x:c>
      <x:c r="K2" s="135" t="n">
        <x:v>21989</x:v>
      </x:c>
      <x:c r="L2" s="135" t="n">
        <x:v>43978</x:v>
      </x:c>
      <x:c r="M2" s="139" t="str">
        <x:v>VAT포함 화면가</x:v>
      </x:c>
      <x:c r="N2" s="139" t="str">
        <x:v>CAD_STAGE_SELECTED</x:v>
      </x:c>
      <x:c r="O2" s="139" t="str">
        <x:v>https://www.navimro.com/p/K92787708/</x:v>
      </x:c>
      <x:c r="P2" s="139" t="str">
        <x:v>하부 외곽 세로 레일 X=-330/+330; 끝단 탭 불필요</x:v>
      </x:c>
    </x:row>
    <x:row r="3" ht="42" customHeight="1">
      <x:c r="A3" s="139" t="str">
        <x:v>S02</x:v>
      </x:c>
      <x:c r="B3" s="139" t="str">
        <x:v>구조</x:v>
      </x:c>
      <x:c r="C3" s="139" t="str">
        <x:v>하부 프레임</x:v>
      </x:c>
      <x:c r="D3" s="139" t="str">
        <x:v>알루미늄 프로파일</x:v>
      </x:c>
      <x:c r="E3" s="139" t="str">
        <x:v>DNF4040/M8, 40x40, 620 mm, 흑색, 직각 절단</x:v>
      </x:c>
      <x:c r="F3" s="137" t="n">
        <x:v>4</x:v>
      </x:c>
      <x:c r="G3" s="137" t="n">
        <x:v>4</x:v>
      </x:c>
      <x:c r="H3" s="123" t="str">
        <x:v>EA</x:v>
      </x:c>
      <x:c r="I3" s="123" t="str">
        <x:v>NAVIMRO</x:v>
      </x:c>
      <x:c r="J3" s="123" t="str">
        <x:v>K92787705</x:v>
      </x:c>
      <x:c r="K3" s="135" t="n">
        <x:v>19789</x:v>
      </x:c>
      <x:c r="L3" s="135" t="n">
        <x:v>79156</x:v>
      </x:c>
      <x:c r="M3" s="139" t="str">
        <x:v>VAT포함 화면가</x:v>
      </x:c>
      <x:c r="N3" s="139" t="str">
        <x:v>CAD_STAGE_SELECTED</x:v>
      </x:c>
      <x:c r="O3" s="139" t="str">
        <x:v>https://www.navimro.com/p/K92787705/</x:v>
      </x:c>
      <x:c r="P3" s="139" t="str">
        <x:v>하부 횡재 Y=330/95/-47.5/-330 mm; 620 mm 4개, 직각 절단 길이 재확인</x:v>
      </x:c>
    </x:row>
    <x:row r="4" ht="42" customHeight="1">
      <x:c r="A4" s="139" t="str">
        <x:v>S03</x:v>
      </x:c>
      <x:c r="B4" s="139" t="str">
        <x:v>구조</x:v>
      </x:c>
      <x:c r="C4" s="139" t="str">
        <x:v>상부 프레임</x:v>
      </x:c>
      <x:c r="D4" s="139" t="str">
        <x:v>알루미늄 프로파일</x:v>
      </x:c>
      <x:c r="E4" s="139" t="str">
        <x:v>DNF3030-6/M6, 30x30, 700 mm, 직각 절단</x:v>
      </x:c>
      <x:c r="F4" s="137" t="n">
        <x:v>2</x:v>
      </x:c>
      <x:c r="G4" s="137" t="n">
        <x:v>2</x:v>
      </x:c>
      <x:c r="H4" s="123" t="str">
        <x:v>EA</x:v>
      </x:c>
      <x:c r="I4" s="123" t="str">
        <x:v>NAVIMRO</x:v>
      </x:c>
      <x:c r="J4" s="123" t="str">
        <x:v>K42296106</x:v>
      </x:c>
      <x:c r="K4" s="135" t="n">
        <x:v>7689</x:v>
      </x:c>
      <x:c r="L4" s="135" t="n">
        <x:v>15378</x:v>
      </x:c>
      <x:c r="M4" s="139" t="str">
        <x:v>VAT포함 화면가</x:v>
      </x:c>
      <x:c r="N4" s="139" t="str">
        <x:v>CAD_STAGE_SELECTED</x:v>
      </x:c>
      <x:c r="O4" s="139" t="str">
        <x:v>https://www.navimro.com/p/K42296106/</x:v>
      </x:c>
      <x:c r="P4" s="139" t="str">
        <x:v>상부 외곽 세로 레일 X=-335/+335; 착불 여부 확인</x:v>
      </x:c>
    </x:row>
    <x:row r="5" ht="42" customHeight="1">
      <x:c r="A5" s="139" t="str">
        <x:v>S04</x:v>
      </x:c>
      <x:c r="B5" s="139" t="str">
        <x:v>구조</x:v>
      </x:c>
      <x:c r="C5" s="139" t="str">
        <x:v>상부 프레임</x:v>
      </x:c>
      <x:c r="D5" s="139" t="str">
        <x:v>알루미늄 프로파일</x:v>
      </x:c>
      <x:c r="E5" s="139" t="str">
        <x:v>DNF3030-6/M6, 30x30, 640 mm, 직각 절단</x:v>
      </x:c>
      <x:c r="F5" s="137" t="n">
        <x:v>4</x:v>
      </x:c>
      <x:c r="G5" s="137" t="n">
        <x:v>4</x:v>
      </x:c>
      <x:c r="H5" s="123" t="str">
        <x:v>EA</x:v>
      </x:c>
      <x:c r="I5" s="123" t="str">
        <x:v>NAVIMRO</x:v>
      </x:c>
      <x:c r="J5" s="123" t="str">
        <x:v>K42296071</x:v>
      </x:c>
      <x:c r="K5" s="135" t="n">
        <x:v>6589</x:v>
      </x:c>
      <x:c r="L5" s="135" t="n">
        <x:v>26356</x:v>
      </x:c>
      <x:c r="M5" s="139" t="str">
        <x:v>VAT포함 화면가</x:v>
      </x:c>
      <x:c r="N5" s="139" t="str">
        <x:v>CAD_STAGE_SELECTED</x:v>
      </x:c>
      <x:c r="O5" s="139" t="str">
        <x:v>https://www.navimro.com/p/K42296071/</x:v>
      </x:c>
      <x:c r="P5" s="139" t="str">
        <x:v>상부 횡재 Y=330/250/-125/-330; 주문제작 길이 재확인</x:v>
      </x:c>
    </x:row>
    <x:row r="6" ht="42" customHeight="1">
      <x:c r="A6" s="139" t="str">
        <x:v>S05</x:v>
      </x:c>
      <x:c r="B6" s="139" t="str">
        <x:v>구조</x:v>
      </x:c>
      <x:c r="C6" s="139" t="str">
        <x:v>하부 프레임</x:v>
      </x:c>
      <x:c r="D6" s="139" t="str">
        <x:v>40시리즈 직각 브래킷</x:v>
      </x:c>
      <x:c r="E6" s="139" t="str">
        <x:v>4035, 다이캐스트</x:v>
      </x:c>
      <x:c r="F6" s="137" t="n">
        <x:v>8</x:v>
      </x:c>
      <x:c r="G6" s="137" t="n">
        <x:v>8</x:v>
      </x:c>
      <x:c r="H6" s="123" t="str">
        <x:v>EA</x:v>
      </x:c>
      <x:c r="I6" s="123" t="str">
        <x:v>NAVIMRO</x:v>
      </x:c>
      <x:c r="J6" s="123" t="str">
        <x:v>K92782553</x:v>
      </x:c>
      <x:c r="K6" s="135" t="n">
        <x:v>913</x:v>
      </x:c>
      <x:c r="L6" s="135" t="n">
        <x:v>7304</x:v>
      </x:c>
      <x:c r="M6" s="139" t="str">
        <x:v>VAT포함 화면가</x:v>
      </x:c>
      <x:c r="N6" s="139" t="str">
        <x:v>CAD_STAGE_SELECTED</x:v>
      </x:c>
      <x:c r="O6" s="139" t="str">
        <x:v>https://www.navimro.com/p/K92782553/</x:v>
      </x:c>
      <x:c r="P6" s="139" t="str">
        <x:v>하부 내부 코너 8곳; F01+F06으로 2점씩 체결</x:v>
      </x:c>
    </x:row>
    <x:row r="7" ht="42" customHeight="1">
      <x:c r="A7" s="139" t="str">
        <x:v>S06</x:v>
      </x:c>
      <x:c r="B7" s="139" t="str">
        <x:v>구조</x:v>
      </x:c>
      <x:c r="C7" s="139" t="str">
        <x:v>상부 프레임</x:v>
      </x:c>
      <x:c r="D7" s="139" t="str">
        <x:v>30시리즈 직각 브래킷</x:v>
      </x:c>
      <x:c r="E7" s="139" t="str">
        <x:v>DCB3025</x:v>
      </x:c>
      <x:c r="F7" s="137" t="n">
        <x:v>8</x:v>
      </x:c>
      <x:c r="G7" s="137" t="n">
        <x:v>8</x:v>
      </x:c>
      <x:c r="H7" s="123" t="str">
        <x:v>EA</x:v>
      </x:c>
      <x:c r="I7" s="123" t="str">
        <x:v>NAVIMRO</x:v>
      </x:c>
      <x:c r="J7" s="123" t="str">
        <x:v>K56842696</x:v>
      </x:c>
      <x:c r="K7" s="135" t="n">
        <x:v>660</x:v>
      </x:c>
      <x:c r="L7" s="135" t="n">
        <x:v>5280</x:v>
      </x:c>
      <x:c r="M7" s="139" t="str">
        <x:v>VAT포함 화면가</x:v>
      </x:c>
      <x:c r="N7" s="139" t="str">
        <x:v>CAD_STAGE_SELECTED</x:v>
      </x:c>
      <x:c r="O7" s="139" t="str">
        <x:v>https://www.navimro.com/p/K56842696/</x:v>
      </x:c>
      <x:c r="P7" s="139" t="str">
        <x:v>상부 내부 코너 8곳; F02+F07으로 2점씩 체결</x:v>
      </x:c>
    </x:row>
    <x:row r="8" ht="42" customHeight="1">
      <x:c r="A8" s="139" t="str">
        <x:v>M01</x:v>
      </x:c>
      <x:c r="B8" s="139" t="str">
        <x:v>구동</x:v>
      </x:c>
      <x:c r="C8" s="139" t="str">
        <x:v>액추에이터 3축</x:v>
      </x:c>
      <x:c r="D8" s="139" t="str">
        <x:v>광학엔코더 리니어 액추에이터</x:v>
      </x:c>
      <x:c r="E8" s="139" t="str">
        <x:v>LM4075OE-1075, DC24V, stroke 100 mm, encoder 5V/6ppr, 10 mm/s, 750 N</x:v>
      </x:c>
      <x:c r="F8" s="137" t="n">
        <x:v>3</x:v>
      </x:c>
      <x:c r="G8" s="137" t="n">
        <x:v>3</x:v>
      </x:c>
      <x:c r="H8" s="123" t="str">
        <x:v>EA</x:v>
      </x:c>
      <x:c r="I8" s="123" t="str">
        <x:v>MotionGearOn</x:v>
      </x:c>
      <x:c r="J8" s="123" t="str">
        <x:v>LM4075OE-1075</x:v>
      </x:c>
      <x:c r="K8" s="135" t="n">
        <x:v>130000</x:v>
      </x:c>
      <x:c r="L8" s="135" t="n">
        <x:v>390000</x:v>
      </x:c>
      <x:c r="M8" s="139" t="str">
        <x:v>옵션 포함 화면 산정가</x:v>
      </x:c>
      <x:c r="N8" s="139" t="str">
        <x:v>HOLD_EXACT_OPTION_AND_CURRENT_VERIFY</x:v>
      </x:c>
      <x:c r="O8" s="139" t="str">
        <x:v>https://motiongearon.com/product/%EA%B4%91%ED%95%99%EC%97%94%EC%BD%94%EB%8D%94-%EB%A6%AC%EB%8B%88%EC%96%B4%EC%95%A1%EC%B6%94%EC%97%90%EC%9D%B4%ED%84%B0-lm4075oe-1075-%EA%B3%A0%EC%A0%95%EB%B0%80-%EC%8B%A4%EB%A6%B0%EB%8D%94-1224v-10mms-750n/1717/</x:v>
      </x:c>
      <x:c r="P8" s="139" t="str">
        <x:v>Rev E 실제 STEP 기준. 세 대 모두 DC24V/100 mm/5 V encoder/6 ppr/10 mm/s/750 N으로 주문 옵션 확인; 정격·기동·스톨전류와 배선색은 판매자 서면 확인 전 발주 금지</x:v>
      </x:c>
    </x:row>
    <x:row r="9" ht="42" customHeight="1">
      <x:c r="A9" s="139" t="str">
        <x:v>M02</x:v>
      </x:c>
      <x:c r="B9" s="139" t="str">
        <x:v>구동</x:v>
      </x:c>
      <x:c r="C9" s="139" t="str">
        <x:v>액추에이터 하부</x:v>
      </x:c>
      <x:c r="D9" s="139" t="str">
        <x:v>LMB-10 고정 브래킷</x:v>
      </x:c>
      <x:c r="E9" s="139" t="str">
        <x:v>LM4075용, 강재, 6 mm 피벗 계열; 핀과 코터핀 포함 구성</x:v>
      </x:c>
      <x:c r="F9" s="137" t="n">
        <x:v>3</x:v>
      </x:c>
      <x:c r="G9" s="137" t="n">
        <x:v>3</x:v>
      </x:c>
      <x:c r="H9" s="123" t="str">
        <x:v>EA</x:v>
      </x:c>
      <x:c r="I9" s="123" t="str">
        <x:v>Motorbank</x:v>
      </x:c>
      <x:c r="J9" s="123" t="str">
        <x:v>1000007655/LMB-10</x:v>
      </x:c>
      <x:c r="K9" s="135" t="n">
        <x:v>4400</x:v>
      </x:c>
      <x:c r="L9" s="135" t="n">
        <x:v>13200</x:v>
      </x:c>
      <x:c r="M9" s="139" t="str">
        <x:v>현재 상품 화면가</x:v>
      </x:c>
      <x:c r="N9" s="139" t="str">
        <x:v>HOLD_VENDOR_DRAWING_AND_PIN_CHECK</x:v>
      </x:c>
      <x:c r="O9" s="139" t="str">
        <x:v>https://www.motorbank.kr/goods/goods_view.php?goodsNo=1000007655</x:v>
      </x:c>
      <x:c r="P9" s="139" t="str">
        <x:v>Fusion에는 사진 판독 외형과 36 mm 바닥홀 피치를 반영. 내부 폭, 핀 중심 오프셋, Ø6 핀/리테이너 동봉 여부는 판매자 치수도면으로 확인 후 어댑터 도면 동결</x:v>
      </x:c>
    </x:row>
    <x:row r="10" ht="42" customHeight="1">
      <x:c r="A10" s="139" t="str">
        <x:v>M03</x:v>
      </x:c>
      <x:c r="B10" s="139" t="str">
        <x:v>구동</x:v>
      </x:c>
      <x:c r="C10" s="139" t="str">
        <x:v>액추에이터 상부</x:v>
      </x:c>
      <x:c r="D10" s="139" t="str">
        <x:v>암나사 로드엔드 베어링</x:v>
      </x:c>
      <x:c r="E10" s="139" t="str">
        <x:v>THK PHS6 RH, M6x1, bore 6, OD18, width 9</x:v>
      </x:c>
      <x:c r="F10" s="137" t="n">
        <x:v>3</x:v>
      </x:c>
      <x:c r="G10" s="137" t="n">
        <x:v>4</x:v>
      </x:c>
      <x:c r="H10" s="123" t="str">
        <x:v>EA</x:v>
      </x:c>
      <x:c r="I10" s="123" t="str">
        <x:v>SpeedMall</x:v>
      </x:c>
      <x:c r="J10" s="123" t="str">
        <x:v>LCGJ5/THK-PHS6</x:v>
      </x:c>
      <x:c r="K10" s="135" t="n">
        <x:v>13112</x:v>
      </x:c>
      <x:c r="L10" s="135" t="n">
        <x:v>52448</x:v>
      </x:c>
      <x:c r="M10" s="139" t="str">
        <x:v>VAT포함 화면가</x:v>
      </x:c>
      <x:c r="N10" s="139" t="str">
        <x:v>CAD_STAGE_SELECTED</x:v>
      </x:c>
      <x:c r="O10" s="139" t="str">
        <x:v>https://www.speedmall.co.kr/product/LCGJ5</x:v>
      </x:c>
      <x:c r="P10" s="139" t="str">
        <x:v>3개 사용+1개 예비; JFT-6R로 대체하지 않음</x:v>
      </x:c>
    </x:row>
    <x:row r="11" ht="42" customHeight="1">
      <x:c r="A11" s="139" t="str">
        <x:v>C01</x:v>
      </x:c>
      <x:c r="B11" s="139" t="str">
        <x:v>가공</x:v>
      </x:c>
      <x:c r="C11" s="139" t="str">
        <x:v>액추에이터 A1 하부</x:v>
      </x:c>
      <x:c r="D11" s="139" t="str">
        <x:v>A1 LMB 방사형 어댑터</x:v>
      </x:c>
      <x:c r="E11" s="139" t="str">
        <x:v>A6061-T6, 120x70x8; 2xD9 profile holes at X +/-48; 2xM8x1.25 LMB taps at 36 mm pitch</x:v>
      </x:c>
      <x:c r="F11" s="137" t="n">
        <x:v>1</x:v>
      </x:c>
      <x:c r="G11" s="137" t="n">
        <x:v>1</x:v>
      </x:c>
      <x:c r="H11" s="123" t="str">
        <x:v>EA</x:v>
      </x:c>
      <x:c r="I11" s="123" t="str">
        <x:v>SKB-QUOTE</x:v>
      </x:c>
      <x:c r="J11" s="123" t="str">
        <x:v>A1_LMB_RADIAL_ADAPTER_REVE_120x70x8</x:v>
      </x:c>
      <x:c r="K11" s="135" t="n">
        <x:v>0</x:v>
      </x:c>
      <x:c r="L11" s="135" t="n">
        <x:v>0</x:v>
      </x:c>
      <x:c r="M11" s="139" t="str">
        <x:v>가공 견적 필요</x:v>
      </x:c>
      <x:c r="N11" s="139" t="str">
        <x:v>HOLD_REVE_DXF_AND_LMB_DRAWING</x:v>
      </x:c>
      <x:c r="O11" s="139" t="str">
        <x:v>https://www.skb-steel.com/product/detail.html?product_no=235</x:v>
      </x:c>
      <x:c r="P11" s="139" t="str">
        <x:v>Rev E CAD 형상 확정; LMB-10 공급도면 확인 후 제작용 DXF/공차도 발행</x:v>
      </x:c>
    </x:row>
    <x:row r="12" ht="42" customHeight="1">
      <x:c r="A12" s="139" t="str">
        <x:v>C02</x:v>
      </x:c>
      <x:c r="B12" s="139" t="str">
        <x:v>가공</x:v>
      </x:c>
      <x:c r="C12" s="139" t="str">
        <x:v>액추에이터 A2 하부</x:v>
      </x:c>
      <x:c r="D12" s="139" t="str">
        <x:v>A2 LMB 방사형 어댑터</x:v>
      </x:c>
      <x:c r="E12" s="139" t="str">
        <x:v>A6061-T6, 120x70x8; 2xD9 profile holes at local X +/-48; 2xM8x1.25 LMB taps at 36 mm pitch</x:v>
      </x:c>
      <x:c r="F12" s="137" t="n">
        <x:v>1</x:v>
      </x:c>
      <x:c r="G12" s="137" t="n">
        <x:v>1</x:v>
      </x:c>
      <x:c r="H12" s="123" t="str">
        <x:v>EA</x:v>
      </x:c>
      <x:c r="I12" s="123" t="str">
        <x:v>SKB-QUOTE</x:v>
      </x:c>
      <x:c r="J12" s="123" t="str">
        <x:v>A2_LMB_RADIAL_ADAPTER_REVE_120x70x8</x:v>
      </x:c>
      <x:c r="K12" s="135" t="n">
        <x:v>0</x:v>
      </x:c>
      <x:c r="L12" s="135" t="n">
        <x:v>0</x:v>
      </x:c>
      <x:c r="M12" s="139" t="str">
        <x:v>가공 견적 필요</x:v>
      </x:c>
      <x:c r="N12" s="139" t="str">
        <x:v>HOLD_REVE_DXF_AND_LMB_DRAWING</x:v>
      </x:c>
      <x:c r="O12" s="139" t="str">
        <x:v>https://www.skb-steel.com/product/detail.html?product_no=235</x:v>
      </x:c>
      <x:c r="P12" s="139" t="str">
        <x:v>Rev E CAD 형상 확정; LMB-10 공급도면 확인 후 제작용 DXF/공차도 발행</x:v>
      </x:c>
    </x:row>
    <x:row r="13" ht="42" customHeight="1">
      <x:c r="A13" s="139" t="str">
        <x:v>C03</x:v>
      </x:c>
      <x:c r="B13" s="139" t="str">
        <x:v>가공</x:v>
      </x:c>
      <x:c r="C13" s="139" t="str">
        <x:v>액추에이터 A3 하부</x:v>
      </x:c>
      <x:c r="D13" s="139" t="str">
        <x:v>A3 LMB 방사형 어댑터</x:v>
      </x:c>
      <x:c r="E13" s="139" t="str">
        <x:v>A6061-T6, 120x70x8; 2xD9 profile holes at local X -70/+30; 2xM8x1.25 LMB taps at 36 mm pitch</x:v>
      </x:c>
      <x:c r="F13" s="137" t="n">
        <x:v>1</x:v>
      </x:c>
      <x:c r="G13" s="137" t="n">
        <x:v>1</x:v>
      </x:c>
      <x:c r="H13" s="123" t="str">
        <x:v>EA</x:v>
      </x:c>
      <x:c r="I13" s="123" t="str">
        <x:v>SKB-QUOTE</x:v>
      </x:c>
      <x:c r="J13" s="123" t="str">
        <x:v>A3_LMB_RADIAL_ADAPTER_REVE_120x70x8</x:v>
      </x:c>
      <x:c r="K13" s="135" t="n">
        <x:v>0</x:v>
      </x:c>
      <x:c r="L13" s="135" t="n">
        <x:v>0</x:v>
      </x:c>
      <x:c r="M13" s="139" t="str">
        <x:v>가공 견적 필요</x:v>
      </x:c>
      <x:c r="N13" s="139" t="str">
        <x:v>HOLD_REVE_DXF_AND_LMB_DRAWING</x:v>
      </x:c>
      <x:c r="O13" s="139" t="str">
        <x:v>https://www.skb-steel.com/product/detail.html?product_no=235</x:v>
      </x:c>
      <x:c r="P13" s="139" t="str">
        <x:v>A3만 100 mm 비대칭 체결 피치. Rev E CAD 기준이며 판매자 도면 확인 후 제작용 DXF/공차도 발행</x:v>
      </x:c>
    </x:row>
    <x:row r="14" ht="42" customHeight="1">
      <x:c r="A14" s="139" t="str">
        <x:v>C04</x:v>
      </x:c>
      <x:c r="B14" s="139" t="str">
        <x:v>가공</x:v>
      </x:c>
      <x:c r="C14" s="139" t="str">
        <x:v>전방 기계 스톱</x:v>
      </x:c>
      <x:c r="D14" s="139" t="str">
        <x:v>하부 스톱 포획판 FRONT</x:v>
      </x:c>
      <x:c r="E14" s="139" t="str">
        <x:v>A6061-T6, 90x125x8; D50 1개, D9 2개</x:v>
      </x:c>
      <x:c r="F14" s="137" t="n">
        <x:v>1</x:v>
      </x:c>
      <x:c r="G14" s="137" t="n">
        <x:v>1</x:v>
      </x:c>
      <x:c r="H14" s="123" t="str">
        <x:v>EA</x:v>
      </x:c>
      <x:c r="I14" s="123" t="str">
        <x:v>SKB-QUOTE</x:v>
      </x:c>
      <x:c r="J14" s="123" t="str">
        <x:v>STOP_CATCH_FRONT_90x125x8_D50.dxf</x:v>
      </x:c>
      <x:c r="K14" s="135" t="n">
        <x:v>0</x:v>
      </x:c>
      <x:c r="L14" s="135" t="n">
        <x:v>0</x:v>
      </x:c>
      <x:c r="M14" s="139" t="str">
        <x:v>가공 견적 필요</x:v>
      </x:c>
      <x:c r="N14" s="139" t="str">
        <x:v>QUOTE_REQUIRED</x:v>
      </x:c>
      <x:c r="O14" s="139" t="str">
        <x:v>https://www.skb-steel.com/product/detail.html?product_no=235</x:v>
      </x:c>
      <x:c r="P14" s="139" t="str">
        <x:v>전방 스톱에만 사용</x:v>
      </x:c>
    </x:row>
    <x:row r="15" ht="42" customHeight="1">
      <x:c r="A15" s="139" t="str">
        <x:v>C05</x:v>
      </x:c>
      <x:c r="B15" s="139" t="str">
        <x:v>가공</x:v>
      </x:c>
      <x:c r="C15" s="139" t="str">
        <x:v>후방 기계 스톱</x:v>
      </x:c>
      <x:c r="D15" s="139" t="str">
        <x:v>하부 스톱 포획판 REAR</x:v>
      </x:c>
      <x:c r="E15" s="139" t="str">
        <x:v>A6061-T6, 90x125x8; D50 1개, D9 2개</x:v>
      </x:c>
      <x:c r="F15" s="137" t="n">
        <x:v>2</x:v>
      </x:c>
      <x:c r="G15" s="137" t="n">
        <x:v>2</x:v>
      </x:c>
      <x:c r="H15" s="123" t="str">
        <x:v>EA</x:v>
      </x:c>
      <x:c r="I15" s="123" t="str">
        <x:v>SKB-QUOTE</x:v>
      </x:c>
      <x:c r="J15" s="123" t="str">
        <x:v>STOP_CATCH_REAR_90x125x8_D50.dxf</x:v>
      </x:c>
      <x:c r="K15" s="135" t="n">
        <x:v>0</x:v>
      </x:c>
      <x:c r="L15" s="135" t="n">
        <x:v>0</x:v>
      </x:c>
      <x:c r="M15" s="139" t="str">
        <x:v>가공 견적 필요</x:v>
      </x:c>
      <x:c r="N15" s="139" t="str">
        <x:v>QUOTE_REQUIRED</x:v>
      </x:c>
      <x:c r="O15" s="139" t="str">
        <x:v>https://www.skb-steel.com/product/detail.html?product_no=235</x:v>
      </x:c>
      <x:c r="P15" s="139" t="str">
        <x:v>후방 좌/우 스톱 각 1개</x:v>
      </x:c>
    </x:row>
    <x:row r="16" ht="42" customHeight="1">
      <x:c r="A16" s="139" t="str">
        <x:v>C06</x:v>
      </x:c>
      <x:c r="B16" s="139" t="str">
        <x:v>가공</x:v>
      </x:c>
      <x:c r="C16" s="139" t="str">
        <x:v>전방 기계 스톱</x:v>
      </x:c>
      <x:c r="D16" s="139" t="str">
        <x:v>상부 스톱 앵커 FRONT</x:v>
      </x:c>
      <x:c r="E16" s="139" t="str">
        <x:v>A6061-T6, 80x85x6; D10.5 1개, D6.8 2개</x:v>
      </x:c>
      <x:c r="F16" s="137" t="n">
        <x:v>1</x:v>
      </x:c>
      <x:c r="G16" s="137" t="n">
        <x:v>1</x:v>
      </x:c>
      <x:c r="H16" s="123" t="str">
        <x:v>EA</x:v>
      </x:c>
      <x:c r="I16" s="123" t="str">
        <x:v>SKB-QUOTE</x:v>
      </x:c>
      <x:c r="J16" s="123" t="str">
        <x:v>STOP_UPPER_ANCHOR_FRONT_80x85x6.dxf</x:v>
      </x:c>
      <x:c r="K16" s="135" t="n">
        <x:v>0</x:v>
      </x:c>
      <x:c r="L16" s="135" t="n">
        <x:v>0</x:v>
      </x:c>
      <x:c r="M16" s="139" t="str">
        <x:v>가공 견적 필요</x:v>
      </x:c>
      <x:c r="N16" s="139" t="str">
        <x:v>QUOTE_REQUIRED</x:v>
      </x:c>
      <x:c r="O16" s="139" t="str">
        <x:v>https://www.skb-steel.com/product/detail.html?product_no=235</x:v>
      </x:c>
      <x:c r="P16" s="139" t="str">
        <x:v>상부 3030 하부 슬롯에 F02+F07 체결</x:v>
      </x:c>
    </x:row>
    <x:row r="17" ht="42" customHeight="1">
      <x:c r="A17" s="139" t="str">
        <x:v>C07</x:v>
      </x:c>
      <x:c r="B17" s="139" t="str">
        <x:v>가공</x:v>
      </x:c>
      <x:c r="C17" s="139" t="str">
        <x:v>후방 기계 스톱</x:v>
      </x:c>
      <x:c r="D17" s="139" t="str">
        <x:v>상부 스톱 앵커 REAR</x:v>
      </x:c>
      <x:c r="E17" s="139" t="str">
        <x:v>A6061-T6, 80x85x6; D10.5 1개, D6.8 2개</x:v>
      </x:c>
      <x:c r="F17" s="137" t="n">
        <x:v>2</x:v>
      </x:c>
      <x:c r="G17" s="137" t="n">
        <x:v>2</x:v>
      </x:c>
      <x:c r="H17" s="123" t="str">
        <x:v>EA</x:v>
      </x:c>
      <x:c r="I17" s="123" t="str">
        <x:v>SKB-QUOTE</x:v>
      </x:c>
      <x:c r="J17" s="123" t="str">
        <x:v>STOP_UPPER_ANCHOR_REAR_80x85x6.dxf</x:v>
      </x:c>
      <x:c r="K17" s="135" t="n">
        <x:v>0</x:v>
      </x:c>
      <x:c r="L17" s="135" t="n">
        <x:v>0</x:v>
      </x:c>
      <x:c r="M17" s="139" t="str">
        <x:v>가공 견적 필요</x:v>
      </x:c>
      <x:c r="N17" s="139" t="str">
        <x:v>QUOTE_REQUIRED</x:v>
      </x:c>
      <x:c r="O17" s="139" t="str">
        <x:v>https://www.skb-steel.com/product/detail.html?product_no=235</x:v>
      </x:c>
      <x:c r="P17" s="139" t="str">
        <x:v>후방 좌/우 스톱 각 1개</x:v>
      </x:c>
    </x:row>
    <x:row r="18" ht="42" customHeight="1">
      <x:c r="A18" s="139" t="str">
        <x:v>C08</x:v>
      </x:c>
      <x:c r="B18" s="139" t="str">
        <x:v>가공</x:v>
      </x:c>
      <x:c r="C18" s="139" t="str">
        <x:v>기계 스톱 3세트</x:v>
      </x:c>
      <x:c r="D18" s="139" t="str">
        <x:v>스톱 접촉바</x:v>
      </x:c>
      <x:c r="E18" s="139" t="str">
        <x:v>A6061-T6, 70x20x4; 중앙 D10.5</x:v>
      </x:c>
      <x:c r="F18" s="137" t="n">
        <x:v>6</x:v>
      </x:c>
      <x:c r="G18" s="137" t="n">
        <x:v>6</x:v>
      </x:c>
      <x:c r="H18" s="123" t="str">
        <x:v>EA</x:v>
      </x:c>
      <x:c r="I18" s="123" t="str">
        <x:v>SKB-QUOTE</x:v>
      </x:c>
      <x:c r="J18" s="123" t="str">
        <x:v>STOP_CONTACT_BAR_70x20x4_D10_5.dxf</x:v>
      </x:c>
      <x:c r="K18" s="135" t="n">
        <x:v>0</x:v>
      </x:c>
      <x:c r="L18" s="135" t="n">
        <x:v>0</x:v>
      </x:c>
      <x:c r="M18" s="139" t="str">
        <x:v>가공 견적 필요</x:v>
      </x:c>
      <x:c r="N18" s="139" t="str">
        <x:v>QUOTE_REQUIRED</x:v>
      </x:c>
      <x:c r="O18" s="139" t="str">
        <x:v>https://www.skb-steel.com/product/detail.html?product_no=235</x:v>
      </x:c>
      <x:c r="P18" s="139" t="str">
        <x:v>축당 상/하 2개; M10 잼너트 사이에서 위치 조정</x:v>
      </x:c>
    </x:row>
    <x:row r="19" ht="42" customHeight="1">
      <x:c r="A19" s="139" t="str">
        <x:v>C09</x:v>
      </x:c>
      <x:c r="B19" s="139" t="str">
        <x:v>가공</x:v>
      </x:c>
      <x:c r="C19" s="139" t="str">
        <x:v>기계 스톱 3세트</x:v>
      </x:c>
      <x:c r="D19" s="139" t="str">
        <x:v>원형 관통 스탠드오프</x:v>
      </x:c>
      <x:c r="E19" s="139" t="str">
        <x:v>A6061, OD16, ID8.4 +0.2/0, L28 +/-0.1, 모따기/디버링</x:v>
      </x:c>
      <x:c r="F19" s="137" t="n">
        <x:v>6</x:v>
      </x:c>
      <x:c r="G19" s="137" t="n">
        <x:v>6</x:v>
      </x:c>
      <x:c r="H19" s="123" t="str">
        <x:v>EA</x:v>
      </x:c>
      <x:c r="I19" s="123" t="str">
        <x:v>SKB-QUOTE</x:v>
      </x:c>
      <x:c r="J19" s="123" t="str">
        <x:v>M8x28-CUSTOM</x:v>
      </x:c>
      <x:c r="K19" s="135" t="n">
        <x:v>0</x:v>
      </x:c>
      <x:c r="L19" s="135" t="n">
        <x:v>0</x:v>
      </x:c>
      <x:c r="M19" s="139" t="str">
        <x:v>선반 가공 견적 필요</x:v>
      </x:c>
      <x:c r="N19" s="139" t="str">
        <x:v>QUOTE_REQUIRED</x:v>
      </x:c>
      <x:c r="O19" s="139" t="str">
        <x:v>https://www.skb-steel.com/product/detail.html?product_no=235</x:v>
      </x:c>
      <x:c r="P19" s="139" t="str">
        <x:v>축당 2개; F16 M8x45가 관통하여 C04/C05와 SP408을 체결</x:v>
      </x:c>
    </x:row>
    <x:row r="20" ht="42" customHeight="1">
      <x:c r="A20" s="139" t="str">
        <x:v>F01</x:v>
      </x:c>
      <x:c r="B20" s="139" t="str">
        <x:v>체결</x:v>
      </x:c>
      <x:c r="C20" s="139" t="str">
        <x:v>하부 프레임 및 LMB</x:v>
      </x:c>
      <x:c r="D20" s="139" t="str">
        <x:v>육각렌치볼트</x:v>
      </x:c>
      <x:c r="E20" s="139" t="str">
        <x:v>M8x16, SCM435 10.9, 완전나사, 1PK(36EA)</x:v>
      </x:c>
      <x:c r="F20" s="137" t="n">
        <x:v>22</x:v>
      </x:c>
      <x:c r="G20" s="137" t="n">
        <x:v>1</x:v>
      </x:c>
      <x:c r="H20" s="123" t="str">
        <x:v>PK_36</x:v>
      </x:c>
      <x:c r="I20" s="123" t="str">
        <x:v>NAVIMRO</x:v>
      </x:c>
      <x:c r="J20" s="123" t="str">
        <x:v>K53536280</x:v>
      </x:c>
      <x:c r="K20" s="135" t="n">
        <x:v>7579</x:v>
      </x:c>
      <x:c r="L20" s="135" t="n">
        <x:v>7579</x:v>
      </x:c>
      <x:c r="M20" s="139" t="str">
        <x:v>VAT포함 화면가</x:v>
      </x:c>
      <x:c r="N20" s="139" t="str">
        <x:v>CAD_STAGE_SELECTED</x:v>
      </x:c>
      <x:c r="O20" s="139" t="str">
        <x:v>https://www.navimro.com/p/K53536280/</x:v>
      </x:c>
      <x:c r="P20" s="139" t="str">
        <x:v>16개는 4035 브래킷+SP408; 6개는 LMB-어댑터 M8 탭</x:v>
      </x:c>
    </x:row>
    <x:row r="21" ht="42" customHeight="1">
      <x:c r="A21" s="139" t="str">
        <x:v>F02</x:v>
      </x:c>
      <x:c r="B21" s="139" t="str">
        <x:v>체결</x:v>
      </x:c>
      <x:c r="C21" s="139" t="str">
        <x:v>상부 프레임 및 스톱 앵커</x:v>
      </x:c>
      <x:c r="D21" s="139" t="str">
        <x:v>육각렌치볼트</x:v>
      </x:c>
      <x:c r="E21" s="139" t="str">
        <x:v>M6x15, SCM435 10.9, 완전나사, 1PK(57EA)</x:v>
      </x:c>
      <x:c r="F21" s="137" t="n">
        <x:v>22</x:v>
      </x:c>
      <x:c r="G21" s="137" t="n">
        <x:v>1</x:v>
      </x:c>
      <x:c r="H21" s="123" t="str">
        <x:v>PK_57</x:v>
      </x:c>
      <x:c r="I21" s="123" t="str">
        <x:v>NAVIMRO</x:v>
      </x:c>
      <x:c r="J21" s="123" t="str">
        <x:v>K53536246</x:v>
      </x:c>
      <x:c r="K21" s="135" t="n">
        <x:v>6039</x:v>
      </x:c>
      <x:c r="L21" s="135" t="n">
        <x:v>6039</x:v>
      </x:c>
      <x:c r="M21" s="139" t="str">
        <x:v>VAT포함 화면가</x:v>
      </x:c>
      <x:c r="N21" s="139" t="str">
        <x:v>CAD_STAGE_SELECTED</x:v>
      </x:c>
      <x:c r="O21" s="139" t="str">
        <x:v>https://www.navimro.com/p/K53536246/</x:v>
      </x:c>
      <x:c r="P21" s="139" t="str">
        <x:v>16개는 DCB3025; 6개는 C06/C07 상부 앵커</x:v>
      </x:c>
    </x:row>
    <x:row r="22" ht="42" customHeight="1">
      <x:c r="A22" s="139" t="str">
        <x:v>F03</x:v>
      </x:c>
      <x:c r="B22" s="139" t="str">
        <x:v>체결</x:v>
      </x:c>
      <x:c r="C22" s="139" t="str">
        <x:v>하부 로컬 어댑터</x:v>
      </x:c>
      <x:c r="D22" s="139" t="str">
        <x:v>육각렌치볼트</x:v>
      </x:c>
      <x:c r="E22" s="139" t="str">
        <x:v>M8x20, SCM435 10.9, 완전나사, 1PK(34EA)</x:v>
      </x:c>
      <x:c r="F22" s="137" t="n">
        <x:v>6</x:v>
      </x:c>
      <x:c r="G22" s="137" t="n">
        <x:v>1</x:v>
      </x:c>
      <x:c r="H22" s="123" t="str">
        <x:v>PK_34</x:v>
      </x:c>
      <x:c r="I22" s="123" t="str">
        <x:v>NAVIMRO</x:v>
      </x:c>
      <x:c r="J22" s="123" t="str">
        <x:v>K53536553</x:v>
      </x:c>
      <x:c r="K22" s="135" t="n">
        <x:v>7359</x:v>
      </x:c>
      <x:c r="L22" s="135" t="n">
        <x:v>7359</x:v>
      </x:c>
      <x:c r="M22" s="139" t="str">
        <x:v>VAT포함 화면가</x:v>
      </x:c>
      <x:c r="N22" s="139" t="str">
        <x:v>CAD_STAGE_SELECTED</x:v>
      </x:c>
      <x:c r="O22" s="139" t="str">
        <x:v>https://www.navimro.com/p/K53536553/</x:v>
      </x:c>
      <x:c r="P22" s="139" t="str">
        <x:v>C01-C03을 4040 상부 슬롯에 축당 2개 체결</x:v>
      </x:c>
    </x:row>
    <x:row r="23" ht="42" customHeight="1">
      <x:c r="A23" s="139" t="str">
        <x:v>F04</x:v>
      </x:c>
      <x:c r="B23" s="139" t="str">
        <x:v>체결</x:v>
      </x:c>
      <x:c r="C23" s="139" t="str">
        <x:v>LMB-어댑터</x:v>
      </x:c>
      <x:c r="D23" s="139" t="str">
        <x:v>M8 평와셔</x:v>
      </x:c>
      <x:c r="E23" s="139" t="str">
        <x:v>SUS304, 8.5x17x1, 1PK(100EA)</x:v>
      </x:c>
      <x:c r="F23" s="137" t="n">
        <x:v>6</x:v>
      </x:c>
      <x:c r="G23" s="137" t="n">
        <x:v>1</x:v>
      </x:c>
      <x:c r="H23" s="123" t="str">
        <x:v>PK_100</x:v>
      </x:c>
      <x:c r="I23" s="123" t="str">
        <x:v>NAVIMRO</x:v>
      </x:c>
      <x:c r="J23" s="123" t="str">
        <x:v>K06130485</x:v>
      </x:c>
      <x:c r="K23" s="135" t="n">
        <x:v>5049</x:v>
      </x:c>
      <x:c r="L23" s="135" t="n">
        <x:v>5049</x:v>
      </x:c>
      <x:c r="M23" s="139" t="str">
        <x:v>VAT포함 화면가</x:v>
      </x:c>
      <x:c r="N23" s="139" t="str">
        <x:v>CAD_STAGE_SELECTED</x:v>
      </x:c>
      <x:c r="O23" s="139" t="str">
        <x:v>https://www.navimro.com/p/K06130485/</x:v>
      </x:c>
      <x:c r="P23" s="139" t="str">
        <x:v>LMB 바닥판과 F05 스프링와셔 사이</x:v>
      </x:c>
    </x:row>
    <x:row r="24" ht="42" customHeight="1">
      <x:c r="A24" s="139" t="str">
        <x:v>F05</x:v>
      </x:c>
      <x:c r="B24" s="139" t="str">
        <x:v>체결</x:v>
      </x:c>
      <x:c r="C24" s="139" t="str">
        <x:v>LMB-어댑터</x:v>
      </x:c>
      <x:c r="D24" s="139" t="str">
        <x:v>M8 스프링와셔</x:v>
      </x:c>
      <x:c r="E24" s="139" t="str">
        <x:v>SUS304, 8.4x14x2, 낱개</x:v>
      </x:c>
      <x:c r="F24" s="137" t="n">
        <x:v>6</x:v>
      </x:c>
      <x:c r="G24" s="137" t="n">
        <x:v>6</x:v>
      </x:c>
      <x:c r="H24" s="123" t="str">
        <x:v>EA</x:v>
      </x:c>
      <x:c r="I24" s="123" t="str">
        <x:v>NAVIMRO</x:v>
      </x:c>
      <x:c r="J24" s="123" t="str">
        <x:v>K15785747</x:v>
      </x:c>
      <x:c r="K24" s="135" t="n">
        <x:v>440</x:v>
      </x:c>
      <x:c r="L24" s="135" t="n">
        <x:v>2640</x:v>
      </x:c>
      <x:c r="M24" s="139" t="str">
        <x:v>VAT포함 화면가</x:v>
      </x:c>
      <x:c r="N24" s="139" t="str">
        <x:v>CAD_STAGE_SELECTED</x:v>
      </x:c>
      <x:c r="O24" s="139" t="str">
        <x:v>https://www.navimro.com/p/K15785747/</x:v>
      </x:c>
      <x:c r="P24" s="139" t="str">
        <x:v>LMB 축당 2개</x:v>
      </x:c>
    </x:row>
    <x:row r="25" ht="42" customHeight="1">
      <x:c r="A25" s="139" t="str">
        <x:v>F06</x:v>
      </x:c>
      <x:c r="B25" s="139" t="str">
        <x:v>체결</x:v>
      </x:c>
      <x:c r="C25" s="139" t="str">
        <x:v>하부 4040 슬롯</x:v>
      </x:c>
      <x:c r="D25" s="139" t="str">
        <x:v>40시리즈 스프링너트</x:v>
      </x:c>
      <x:c r="E25" s="139" t="str">
        <x:v>SP408, M8, 1PK(100EA)</x:v>
      </x:c>
      <x:c r="F25" s="137" t="n">
        <x:v>28</x:v>
      </x:c>
      <x:c r="G25" s="137" t="n">
        <x:v>1</x:v>
      </x:c>
      <x:c r="H25" s="123" t="str">
        <x:v>PK_100</x:v>
      </x:c>
      <x:c r="I25" s="123" t="str">
        <x:v>NAVIMRO</x:v>
      </x:c>
      <x:c r="J25" s="123" t="str">
        <x:v>K14671419</x:v>
      </x:c>
      <x:c r="K25" s="135" t="n">
        <x:v>25289</x:v>
      </x:c>
      <x:c r="L25" s="135" t="n">
        <x:v>25289</x:v>
      </x:c>
      <x:c r="M25" s="139" t="str">
        <x:v>VAT포함 화면가</x:v>
      </x:c>
      <x:c r="N25" s="139" t="str">
        <x:v>CAD_STAGE_SELECTED</x:v>
      </x:c>
      <x:c r="O25" s="139" t="str">
        <x:v>https://www.navimro.com/p/K14671419/</x:v>
      </x:c>
      <x:c r="P25" s="139" t="str">
        <x:v>4035 16+어댑터 6+스톱 포획판 6</x:v>
      </x:c>
    </x:row>
    <x:row r="26" ht="42" customHeight="1">
      <x:c r="A26" s="139" t="str">
        <x:v>F07</x:v>
      </x:c>
      <x:c r="B26" s="139" t="str">
        <x:v>체결</x:v>
      </x:c>
      <x:c r="C26" s="139" t="str">
        <x:v>상부 3030 슬롯</x:v>
      </x:c>
      <x:c r="D26" s="139" t="str">
        <x:v>30시리즈 스프링너트</x:v>
      </x:c>
      <x:c r="E26" s="139" t="str">
        <x:v>SP306, M6, 1PK(100EA)</x:v>
      </x:c>
      <x:c r="F26" s="137" t="n">
        <x:v>25</x:v>
      </x:c>
      <x:c r="G26" s="137" t="n">
        <x:v>1</x:v>
      </x:c>
      <x:c r="H26" s="123" t="str">
        <x:v>PK_100</x:v>
      </x:c>
      <x:c r="I26" s="123" t="str">
        <x:v>NAVIMRO</x:v>
      </x:c>
      <x:c r="J26" s="123" t="str">
        <x:v>K14671215</x:v>
      </x:c>
      <x:c r="K26" s="135" t="n">
        <x:v>25289</x:v>
      </x:c>
      <x:c r="L26" s="135" t="n">
        <x:v>25289</x:v>
      </x:c>
      <x:c r="M26" s="139" t="str">
        <x:v>VAT포함 화면가</x:v>
      </x:c>
      <x:c r="N26" s="139" t="str">
        <x:v>CAD_STAGE_SELECTED</x:v>
      </x:c>
      <x:c r="O26" s="139" t="str">
        <x:v>https://www.navimro.com/p/K14671215/</x:v>
      </x:c>
      <x:c r="P26" s="139" t="str">
        <x:v>DCB3025 16+스톱 앵커 6+PHS6 스터드 3</x:v>
      </x:c>
    </x:row>
    <x:row r="27" ht="42" customHeight="1">
      <x:c r="A27" s="139" t="str">
        <x:v>F08</x:v>
      </x:c>
      <x:c r="B27" s="139" t="str">
        <x:v>체결</x:v>
      </x:c>
      <x:c r="C27" s="139" t="str">
        <x:v>상부 액추에이터 피벗</x:v>
      </x:c>
      <x:c r="D27" s="139" t="str">
        <x:v>반나사 육각볼트</x:v>
      </x:c>
      <x:c r="E27" s="139" t="str">
        <x:v>M6x50, 나사부 18 mm, 비나사부 약 32 mm, 1PK(10EA)</x:v>
      </x:c>
      <x:c r="F27" s="137" t="n">
        <x:v>3</x:v>
      </x:c>
      <x:c r="G27" s="137" t="n">
        <x:v>1</x:v>
      </x:c>
      <x:c r="H27" s="123" t="str">
        <x:v>PK_10</x:v>
      </x:c>
      <x:c r="I27" s="123" t="str">
        <x:v>NAVIMRO</x:v>
      </x:c>
      <x:c r="J27" s="123" t="str">
        <x:v>K53672105</x:v>
      </x:c>
      <x:c r="K27" s="135" t="n">
        <x:v>3410</x:v>
      </x:c>
      <x:c r="L27" s="135" t="n">
        <x:v>3410</x:v>
      </x:c>
      <x:c r="M27" s="139" t="str">
        <x:v>현재 화면가</x:v>
      </x:c>
      <x:c r="N27" s="139" t="str">
        <x:v>HOLD_FINAL_STACK_CONFIRM</x:v>
      </x:c>
      <x:c r="O27" s="139" t="str">
        <x:v>https://www.navimro.com/p/K53672105/</x:v>
      </x:c>
      <x:c r="P27" s="139" t="str">
        <x:v>상부 횡축. 실제 STEP 전면 아이 약 19 mm + PHS6 폭 9 mm + F09 와셔 2장 적층을 실물 치수로 재확인</x:v>
      </x:c>
    </x:row>
    <x:row r="28" ht="42" customHeight="1">
      <x:c r="A28" s="139" t="str">
        <x:v>F09</x:v>
      </x:c>
      <x:c r="B28" s="139" t="str">
        <x:v>체결</x:v>
      </x:c>
      <x:c r="C28" s="139" t="str">
        <x:v>상부 액추에이터 피벗</x:v>
      </x:c>
      <x:c r="D28" s="139" t="str">
        <x:v>M6 평와셔</x:v>
      </x:c>
      <x:c r="E28" s="139" t="str">
        <x:v>M6, t1.5 nominal, plain washer; upper pivot lateral centering</x:v>
      </x:c>
      <x:c r="F28" s="137" t="n">
        <x:v>6</x:v>
      </x:c>
      <x:c r="G28" s="137" t="n">
        <x:v>1</x:v>
      </x:c>
      <x:c r="H28" s="123" t="str">
        <x:v>PK_100</x:v>
      </x:c>
      <x:c r="I28" s="123" t="str">
        <x:v>NAVIMRO</x:v>
      </x:c>
      <x:c r="J28" s="123" t="str">
        <x:v>K02197839</x:v>
      </x:c>
      <x:c r="K28" s="135" t="n">
        <x:v>2189</x:v>
      </x:c>
      <x:c r="L28" s="135" t="n">
        <x:v>2189</x:v>
      </x:c>
      <x:c r="M28" s="139" t="str">
        <x:v>VAT포함 화면가</x:v>
      </x:c>
      <x:c r="N28" s="139" t="str">
        <x:v>HOLD_FINAL_STACK_CONFIRM</x:v>
      </x:c>
      <x:c r="O28" s="139" t="str">
        <x:v>https://www.navimro.com/p/K02197839/</x:v>
      </x:c>
      <x:c r="P28" s="139" t="str">
        <x:v>축당 2장. 전면 아이 약 19 + PHS6 9 + 와셔 1.5x2 = 약 31 mm 적층; 심 대체로 표기하지 않음</x:v>
      </x:c>
    </x:row>
    <x:row r="29" ht="42" customHeight="1">
      <x:c r="A29" s="139" t="str">
        <x:v>F10</x:v>
      </x:c>
      <x:c r="B29" s="139" t="str">
        <x:v>체결</x:v>
      </x:c>
      <x:c r="C29" s="139" t="str">
        <x:v>상부 액추에이터 피벗</x:v>
      </x:c>
      <x:c r="D29" s="139" t="str">
        <x:v>M6 나일론 인서트 너트</x:v>
      </x:c>
      <x:c r="E29" s="139" t="str">
        <x:v>SUS304, 1PK(100EA)</x:v>
      </x:c>
      <x:c r="F29" s="137" t="n">
        <x:v>3</x:v>
      </x:c>
      <x:c r="G29" s="137" t="n">
        <x:v>1</x:v>
      </x:c>
      <x:c r="H29" s="123" t="str">
        <x:v>PK_100</x:v>
      </x:c>
      <x:c r="I29" s="123" t="str">
        <x:v>NAVIMRO</x:v>
      </x:c>
      <x:c r="J29" s="123" t="str">
        <x:v>K14536539</x:v>
      </x:c>
      <x:c r="K29" s="135" t="n">
        <x:v>8789</x:v>
      </x:c>
      <x:c r="L29" s="135" t="n">
        <x:v>8789</x:v>
      </x:c>
      <x:c r="M29" s="139" t="str">
        <x:v>VAT포함 화면가</x:v>
      </x:c>
      <x:c r="N29" s="139" t="str">
        <x:v>CAD_STAGE_SELECTED</x:v>
      </x:c>
      <x:c r="O29" s="139" t="str">
        <x:v>https://www.navimro.com/p/K14536539/</x:v>
      </x:c>
      <x:c r="P29" s="139" t="str">
        <x:v>F08 상부 피벗 축당 1개</x:v>
      </x:c>
    </x:row>
    <x:row r="30" ht="42" customHeight="1">
      <x:c r="A30" s="139" t="str">
        <x:v>F11</x:v>
      </x:c>
      <x:c r="B30" s="139" t="str">
        <x:v>체결</x:v>
      </x:c>
      <x:c r="C30" s="139" t="str">
        <x:v>PHS6-상부 슬롯</x:v>
      </x:c>
      <x:c r="D30" s="139" t="str">
        <x:v>M6 전산볼트</x:v>
      </x:c>
      <x:c r="E30" s="139" t="str">
        <x:v>M6x285, 완전나사</x:v>
      </x:c>
      <x:c r="F30" s="137" t="n">
        <x:v>1</x:v>
      </x:c>
      <x:c r="G30" s="137" t="n">
        <x:v>1</x:v>
      </x:c>
      <x:c r="H30" s="123" t="str">
        <x:v>EA</x:v>
      </x:c>
      <x:c r="I30" s="123" t="str">
        <x:v>NAVIMRO</x:v>
      </x:c>
      <x:c r="J30" s="123" t="str">
        <x:v>K54170097</x:v>
      </x:c>
      <x:c r="K30" s="135" t="n">
        <x:v>869</x:v>
      </x:c>
      <x:c r="L30" s="135" t="n">
        <x:v>869</x:v>
      </x:c>
      <x:c r="M30" s="139" t="str">
        <x:v>VAT포함 화면가</x:v>
      </x:c>
      <x:c r="N30" s="139" t="str">
        <x:v>HOLD_CUT_LENGTH_CONFIRM</x:v>
      </x:c>
      <x:c r="O30" s="139" t="str">
        <x:v>https://www.navimro.com/p/K54170097/</x:v>
      </x:c>
      <x:c r="P30" s="139" t="str">
        <x:v>25 mm 스터드 3개 절단/디버링; SP306-PHS6 암나사 연결</x:v>
      </x:c>
    </x:row>
    <x:row r="31" ht="42" customHeight="1">
      <x:c r="A31" s="139" t="str">
        <x:v>F12</x:v>
      </x:c>
      <x:c r="B31" s="139" t="str">
        <x:v>체결</x:v>
      </x:c>
      <x:c r="C31" s="139" t="str">
        <x:v>PHS6-상부 슬롯</x:v>
      </x:c>
      <x:c r="D31" s="139" t="str">
        <x:v>M6 잼너트</x:v>
      </x:c>
      <x:c r="E31" s="139" t="str">
        <x:v>SCM435 니켈, 1PK(100EA)</x:v>
      </x:c>
      <x:c r="F31" s="137" t="n">
        <x:v>6</x:v>
      </x:c>
      <x:c r="G31" s="137" t="n">
        <x:v>1</x:v>
      </x:c>
      <x:c r="H31" s="123" t="str">
        <x:v>PK_100</x:v>
      </x:c>
      <x:c r="I31" s="123" t="str">
        <x:v>NAVIMRO</x:v>
      </x:c>
      <x:c r="J31" s="123" t="str">
        <x:v>K14532615</x:v>
      </x:c>
      <x:c r="K31" s="135" t="n">
        <x:v>4169</x:v>
      </x:c>
      <x:c r="L31" s="135" t="n">
        <x:v>4169</x:v>
      </x:c>
      <x:c r="M31" s="139" t="str">
        <x:v>VAT포함 화면가</x:v>
      </x:c>
      <x:c r="N31" s="139" t="str">
        <x:v>CAD_STAGE_SELECTED</x:v>
      </x:c>
      <x:c r="O31" s="139" t="str">
        <x:v>https://www.navimro.com/p/K14532615/</x:v>
      </x:c>
      <x:c r="P31" s="139" t="str">
        <x:v>축당 PHS6와 슬롯너트 측 잠금 각 1개</x:v>
      </x:c>
    </x:row>
    <x:row r="32" ht="42" customHeight="1">
      <x:c r="A32" s="139" t="str">
        <x:v>F13</x:v>
      </x:c>
      <x:c r="B32" s="139" t="str">
        <x:v>체결</x:v>
      </x:c>
      <x:c r="C32" s="139" t="str">
        <x:v>기계 스톱</x:v>
      </x:c>
      <x:c r="D32" s="139" t="str">
        <x:v>M10 전산볼트</x:v>
      </x:c>
      <x:c r="E32" s="139" t="str">
        <x:v>M10x285, 완전나사</x:v>
      </x:c>
      <x:c r="F32" s="137" t="n">
        <x:v>3</x:v>
      </x:c>
      <x:c r="G32" s="137" t="n">
        <x:v>3</x:v>
      </x:c>
      <x:c r="H32" s="123" t="str">
        <x:v>EA</x:v>
      </x:c>
      <x:c r="I32" s="123" t="str">
        <x:v>NAVIMRO</x:v>
      </x:c>
      <x:c r="J32" s="123" t="str">
        <x:v>K54170031</x:v>
      </x:c>
      <x:c r="K32" s="135" t="n">
        <x:v>1309</x:v>
      </x:c>
      <x:c r="L32" s="135" t="n">
        <x:v>3927</x:v>
      </x:c>
      <x:c r="M32" s="139" t="str">
        <x:v>VAT포함 화면가</x:v>
      </x:c>
      <x:c r="N32" s="139" t="str">
        <x:v>HOLD_CUT_LENGTH_CONFIRM</x:v>
      </x:c>
      <x:c r="O32" s="139" t="str">
        <x:v>https://www.navimro.com/p/K54170031/</x:v>
      </x:c>
      <x:c r="P32" s="139" t="str">
        <x:v>각각 270 mm로 절단하고 15 mm 제거 후 디버링</x:v>
      </x:c>
    </x:row>
    <x:row r="33" ht="42" customHeight="1">
      <x:c r="A33" s="139" t="str">
        <x:v>F14</x:v>
      </x:c>
      <x:c r="B33" s="139" t="str">
        <x:v>체결</x:v>
      </x:c>
      <x:c r="C33" s="139" t="str">
        <x:v>기계 스톱</x:v>
      </x:c>
      <x:c r="D33" s="139" t="str">
        <x:v>M10 잼너트</x:v>
      </x:c>
      <x:c r="E33" s="139" t="str">
        <x:v>SCM435 니켈, 1PK(50EA)</x:v>
      </x:c>
      <x:c r="F33" s="137" t="n">
        <x:v>18</x:v>
      </x:c>
      <x:c r="G33" s="137" t="n">
        <x:v>1</x:v>
      </x:c>
      <x:c r="H33" s="123" t="str">
        <x:v>PK_50</x:v>
      </x:c>
      <x:c r="I33" s="123" t="str">
        <x:v>NAVIMRO</x:v>
      </x:c>
      <x:c r="J33" s="123" t="str">
        <x:v>K14532693</x:v>
      </x:c>
      <x:c r="K33" s="135" t="n">
        <x:v>8349</x:v>
      </x:c>
      <x:c r="L33" s="135" t="n">
        <x:v>8349</x:v>
      </x:c>
      <x:c r="M33" s="139" t="str">
        <x:v>VAT포함 화면가</x:v>
      </x:c>
      <x:c r="N33" s="139" t="str">
        <x:v>CAD_STAGE_SELECTED</x:v>
      </x:c>
      <x:c r="O33" s="139" t="str">
        <x:v>https://www.navimro.com/p/K14532693/</x:v>
      </x:c>
      <x:c r="P33" s="139" t="str">
        <x:v>접촉바 12개+상부 앵커 잠금 6개</x:v>
      </x:c>
    </x:row>
    <x:row r="34" ht="42" customHeight="1">
      <x:c r="A34" s="139" t="str">
        <x:v>F16</x:v>
      </x:c>
      <x:c r="B34" s="139" t="str">
        <x:v>체결</x:v>
      </x:c>
      <x:c r="C34" s="139" t="str">
        <x:v>스톱 포획판</x:v>
      </x:c>
      <x:c r="D34" s="139" t="str">
        <x:v>M8x45 육각볼트</x:v>
      </x:c>
      <x:c r="E34" s="139" t="str">
        <x:v>강재, 완전나사, 낱개</x:v>
      </x:c>
      <x:c r="F34" s="137" t="n">
        <x:v>6</x:v>
      </x:c>
      <x:c r="G34" s="137" t="n">
        <x:v>6</x:v>
      </x:c>
      <x:c r="H34" s="123" t="str">
        <x:v>EA</x:v>
      </x:c>
      <x:c r="I34" s="123" t="str">
        <x:v>NAVIMRO</x:v>
      </x:c>
      <x:c r="J34" s="123" t="str">
        <x:v>K15696590</x:v>
      </x:c>
      <x:c r="K34" s="135" t="n">
        <x:v>880</x:v>
      </x:c>
      <x:c r="L34" s="135" t="n">
        <x:v>5280</x:v>
      </x:c>
      <x:c r="M34" s="139" t="str">
        <x:v>VAT포함 화면가</x:v>
      </x:c>
      <x:c r="N34" s="139" t="str">
        <x:v>CAD_STAGE_SELECTED</x:v>
      </x:c>
      <x:c r="O34" s="139" t="str">
        <x:v>https://www.navimro.com/p/K15696590/</x:v>
      </x:c>
      <x:c r="P34" s="139" t="str">
        <x:v>8 mm 판+C09 28 mm 스탠드오프 관통 후 SP408 체결</x:v>
      </x:c>
    </x:row>
    <x:row r="35" ht="42" customHeight="1">
      <x:c r="A35" s="139" t="str">
        <x:v>F17</x:v>
      </x:c>
      <x:c r="B35" s="139" t="str">
        <x:v>체결</x:v>
      </x:c>
      <x:c r="C35" s="139" t="str">
        <x:v>고정 나사부</x:v>
      </x:c>
      <x:c r="D35" s="139" t="str">
        <x:v>중강도 나사고정제</x:v>
      </x:c>
      <x:c r="E35" s="139" t="str">
        <x:v>LOCTITE 243, 10 ml</x:v>
      </x:c>
      <x:c r="F35" s="137" t="n">
        <x:v>1</x:v>
      </x:c>
      <x:c r="G35" s="137" t="n">
        <x:v>1</x:v>
      </x:c>
      <x:c r="H35" s="123" t="str">
        <x:v>EA</x:v>
      </x:c>
      <x:c r="I35" s="123" t="str">
        <x:v>NAVIMRO</x:v>
      </x:c>
      <x:c r="J35" s="123" t="str">
        <x:v>K64647607</x:v>
      </x:c>
      <x:c r="K35" s="135" t="n">
        <x:v>9889</x:v>
      </x:c>
      <x:c r="L35" s="135" t="n">
        <x:v>9889</x:v>
      </x:c>
      <x:c r="M35" s="139" t="str">
        <x:v>VAT포함 화면가</x:v>
      </x:c>
      <x:c r="N35" s="139" t="str">
        <x:v>CAD_STAGE_SELECTED</x:v>
      </x:c>
      <x:c r="O35" s="139" t="str">
        <x:v>https://www.navimro.com/p/K64647607/</x:v>
      </x:c>
      <x:c r="P35" s="139" t="str">
        <x:v>비조정 체결부와 PHS6 스터드에만 사용; M10 조정 너트에는 사용 금지</x:v>
      </x:c>
    </x:row>
    <x:row r="36" ht="42" customHeight="1">
      <x:c r="A36" s="139" t="str">
        <x:v>F18</x:v>
      </x:c>
      <x:c r="B36" s="139" t="str">
        <x:v>체결</x:v>
      </x:c>
      <x:c r="C36" s="139" t="str">
        <x:v>전장함 부품 장착</x:v>
      </x:c>
      <x:c r="D36" s="139" t="str">
        <x:v>M4 더블샘스볼트</x:v>
      </x:c>
      <x:c r="E36" s="139" t="str">
        <x:v>M4x25, 니켈도금, 평와셔+스프링와셔 결합, 1PK(100EA)</x:v>
      </x:c>
      <x:c r="F36" s="137" t="n">
        <x:v>20</x:v>
      </x:c>
      <x:c r="G36" s="137" t="n">
        <x:v>1</x:v>
      </x:c>
      <x:c r="H36" s="123" t="str">
        <x:v>PK_100</x:v>
      </x:c>
      <x:c r="I36" s="123" t="str">
        <x:v>NAVIMRO</x:v>
      </x:c>
      <x:c r="J36" s="123" t="str">
        <x:v>K14364804</x:v>
      </x:c>
      <x:c r="K36" s="135" t="n">
        <x:v>18139</x:v>
      </x:c>
      <x:c r="L36" s="135" t="n">
        <x:v>18139</x:v>
      </x:c>
      <x:c r="M36" s="139" t="str">
        <x:v>VAT포함 화면가</x:v>
      </x:c>
      <x:c r="N36" s="139" t="str">
        <x:v>HOLD_ELECTRICAL_LAYOUT</x:v>
      </x:c>
      <x:c r="O36" s="139" t="str">
        <x:v>https://www.navimro.com/p/K14364804/</x:v>
      </x:c>
      <x:c r="P36" s="139" t="str">
        <x:v>PSU/DIN레일/단자대/드라이버 장착용 현장 맞춤 키트; 길면 와셔 적층 또는 절단 금지하고 짧은 예비볼트 사용</x:v>
      </x:c>
    </x:row>
    <x:row r="37" ht="42" customHeight="1">
      <x:c r="A37" s="139" t="str">
        <x:v>F19</x:v>
      </x:c>
      <x:c r="B37" s="139" t="str">
        <x:v>체결</x:v>
      </x:c>
      <x:c r="C37" s="139" t="str">
        <x:v>전장함 부품 장착</x:v>
      </x:c>
      <x:c r="D37" s="139" t="str">
        <x:v>M4 육각너트</x:v>
      </x:c>
      <x:c r="E37" s="139" t="str">
        <x:v>SUS304, M4x0.7, 1PK(50EA)</x:v>
      </x:c>
      <x:c r="F37" s="137" t="n">
        <x:v>20</x:v>
      </x:c>
      <x:c r="G37" s="137" t="n">
        <x:v>1</x:v>
      </x:c>
      <x:c r="H37" s="123" t="str">
        <x:v>PK_50</x:v>
      </x:c>
      <x:c r="I37" s="123" t="str">
        <x:v>NAVIMRO</x:v>
      </x:c>
      <x:c r="J37" s="123" t="str">
        <x:v>K06130054</x:v>
      </x:c>
      <x:c r="K37" s="135" t="n">
        <x:v>1529</x:v>
      </x:c>
      <x:c r="L37" s="135" t="n">
        <x:v>1529</x:v>
      </x:c>
      <x:c r="M37" s="139" t="str">
        <x:v>VAT포함 화면가</x:v>
      </x:c>
      <x:c r="N37" s="139" t="str">
        <x:v>HOLD_ELECTRICAL_LAYOUT</x:v>
      </x:c>
      <x:c r="O37" s="139" t="str">
        <x:v>https://www.navimro.com/p/K06130054/</x:v>
      </x:c>
      <x:c r="P37" s="139" t="str">
        <x:v>F18과 조합; 풀림 우려 위치는 F17을 소량 사용</x:v>
      </x:c>
    </x:row>
    <x:row r="38" ht="42" customHeight="1">
      <x:c r="A38" s="139" t="str">
        <x:v>E01</x:v>
      </x:c>
      <x:c r="B38" s="139" t="str">
        <x:v>전장</x:v>
      </x:c>
      <x:c r="C38" s="139" t="str">
        <x:v>액추에이터 3축</x:v>
      </x:c>
      <x:c r="D38" s="139" t="str">
        <x:v>2채널 양방향 DC 모터 드라이버</x:v>
      </x:c>
      <x:c r="E38" s="139" t="str">
        <x:v>Cytron MDD10A, 5-30 VDC, 10 A continuous/channel, PWM+DIR, regenerative H-bridge</x:v>
      </x:c>
      <x:c r="F38" s="137" t="n">
        <x:v>2</x:v>
      </x:c>
      <x:c r="G38" s="137" t="n">
        <x:v>2</x:v>
      </x:c>
      <x:c r="H38" s="123" t="str">
        <x:v>EA</x:v>
      </x:c>
      <x:c r="I38" s="123" t="str">
        <x:v>DeviceMart</x:v>
      </x:c>
      <x:c r="J38" s="123" t="str">
        <x:v>1280280/MDD10A</x:v>
      </x:c>
      <x:c r="K38" s="135" t="n">
        <x:v>39930</x:v>
      </x:c>
      <x:c r="L38" s="135" t="n">
        <x:v>79860</x:v>
      </x:c>
      <x:c r="M38" s="139" t="str">
        <x:v>VAT포함 화면가 2026-09-02</x:v>
      </x:c>
      <x:c r="N38" s="139" t="str">
        <x:v>HOLD_ACTUATOR_CURRENT_COMMISSIONING</x:v>
      </x:c>
      <x:c r="O38" s="139" t="str">
        <x:v>https://www.devicemart.co.kr/goods/view?no=1280280</x:v>
      </x:c>
      <x:c r="P38" s="139" t="str">
        <x:v>두 보드의 4채널 중 3채널 사용. 역극성 보호 없음; 액추에이터 실측 기동/스톨전류가 채널 및 PSU 한계 이내인지 확인</x:v>
      </x:c>
    </x:row>
    <x:row r="39" ht="42" customHeight="1">
      <x:c r="A39" s="139" t="str">
        <x:v>E02</x:v>
      </x:c>
      <x:c r="B39" s="139" t="str">
        <x:v>전장</x:v>
      </x:c>
      <x:c r="C39" s="139" t="str">
        <x:v>제어부</x:v>
      </x:c>
      <x:c r="D39" s="139" t="str">
        <x:v>Mega2560 호환 제어보드</x:v>
      </x:c>
      <x:c r="E39" s="139" t="str">
        <x:v>SunFounder TS0481 Mega 2560 R3 compatible, USB Type-C cable included</x:v>
      </x:c>
      <x:c r="F39" s="137" t="n">
        <x:v>1</x:v>
      </x:c>
      <x:c r="G39" s="137" t="n">
        <x:v>1</x:v>
      </x:c>
      <x:c r="H39" s="123" t="str">
        <x:v>EA</x:v>
      </x:c>
      <x:c r="I39" s="123" t="str">
        <x:v>DeviceMart</x:v>
      </x:c>
      <x:c r="J39" s="123" t="str">
        <x:v>1382306/TS0481</x:v>
      </x:c>
      <x:c r="K39" s="135" t="n">
        <x:v>34980</x:v>
      </x:c>
      <x:c r="L39" s="135" t="n">
        <x:v>34980</x:v>
      </x:c>
      <x:c r="M39" s="139" t="str">
        <x:v>VAT포함 화면가 2026-09-02</x:v>
      </x:c>
      <x:c r="N39" s="139" t="str">
        <x:v>CAD_STAGE_SELECTED</x:v>
      </x:c>
      <x:c r="O39" s="139" t="str">
        <x:v>https://www.devicemart.co.kr/goods/view?no=1382306</x:v>
      </x:c>
      <x:c r="P39" s="139" t="str">
        <x:v>PC에서 USB로 파라미터 조정/로그 가능. 엔코더 3축과 MDD10A 3채널을 단일 보드에서 처리</x:v>
      </x:c>
    </x:row>
    <x:row r="40" ht="42" customHeight="1">
      <x:c r="A40" s="139" t="str">
        <x:v>E03</x:v>
      </x:c>
      <x:c r="B40" s="139" t="str">
        <x:v>전장</x:v>
      </x:c>
      <x:c r="C40" s="139" t="str">
        <x:v>상부 이동 프레임</x:v>
      </x:c>
      <x:c r="D40" s="139" t="str">
        <x:v>6축 IMU 모듈</x:v>
      </x:c>
      <x:c r="E40" s="139" t="str">
        <x:v>VOLT GY-521 / MPU6050, I2C, 3-axis gyro + 3-axis accelerometer</x:v>
      </x:c>
      <x:c r="F40" s="137" t="n">
        <x:v>1</x:v>
      </x:c>
      <x:c r="G40" s="137" t="n">
        <x:v>1</x:v>
      </x:c>
      <x:c r="H40" s="123" t="str">
        <x:v>EA</x:v>
      </x:c>
      <x:c r="I40" s="123" t="str">
        <x:v>DeviceMart</x:v>
      </x:c>
      <x:c r="J40" s="123" t="str">
        <x:v>15960724/VLT-GY006</x:v>
      </x:c>
      <x:c r="K40" s="135" t="n">
        <x:v>6490</x:v>
      </x:c>
      <x:c r="L40" s="135" t="n">
        <x:v>6490</x:v>
      </x:c>
      <x:c r="M40" s="139" t="str">
        <x:v>VAT포함 화면가 2026-09-02</x:v>
      </x:c>
      <x:c r="N40" s="139" t="str">
        <x:v>CAD_STAGE_SELECTED_CALIBRATION_REQUIRED</x:v>
      </x:c>
      <x:c r="O40" s="139" t="str">
        <x:v>https://www.devicemart.co.kr/goods/view?no=15960724</x:v>
      </x:c>
      <x:c r="P40" s="139" t="str">
        <x:v>상판 강체에 수평 기준축을 표시해 고정; 장착 후 영점·온도 드리프트 보정 필요</x:v>
      </x:c>
    </x:row>
    <x:row r="41" ht="42" customHeight="1">
      <x:c r="A41" s="139" t="str">
        <x:v>E04</x:v>
      </x:c>
      <x:c r="B41" s="139" t="str">
        <x:v>전장</x:v>
      </x:c>
      <x:c r="C41" s="139" t="str">
        <x:v>24V 주전원</x:v>
      </x:c>
      <x:c r="D41" s="139" t="str">
        <x:v>24 V AC-DC 전원공급기</x:v>
      </x:c>
      <x:c r="E41" s="139" t="str">
        <x:v>Mean Well LRS-350-24, 24 VDC, 14.6 A, 350 W</x:v>
      </x:c>
      <x:c r="F41" s="137" t="n">
        <x:v>1</x:v>
      </x:c>
      <x:c r="G41" s="137" t="n">
        <x:v>1</x:v>
      </x:c>
      <x:c r="H41" s="123" t="str">
        <x:v>EA</x:v>
      </x:c>
      <x:c r="I41" s="123" t="str">
        <x:v>DeviceMart</x:v>
      </x:c>
      <x:c r="J41" s="123" t="str">
        <x:v>13231965/LRS-350-24</x:v>
      </x:c>
      <x:c r="K41" s="135" t="n">
        <x:v>45650</x:v>
      </x:c>
      <x:c r="L41" s="135" t="n">
        <x:v>45650</x:v>
      </x:c>
      <x:c r="M41" s="139" t="str">
        <x:v>VAT포함 화면가 2026-09-02</x:v>
      </x:c>
      <x:c r="N41" s="139" t="str">
        <x:v>HOLD_ACTUATOR_CURRENT_COMMISSIONING</x:v>
      </x:c>
      <x:c r="O41" s="139" t="str">
        <x:v>https://www.devicemart.co.kr/goods/view?no=13231965</x:v>
      </x:c>
      <x:c r="P41" s="139" t="str">
        <x:v>접지 필수. 액추에이터 3축 동시 기동/스톨 전류 합이 14.6 A 이내인지 실측 후 동시구동 제한 결정</x:v>
      </x:c>
    </x:row>
    <x:row r="42" ht="42" customHeight="1">
      <x:c r="A42" s="139" t="str">
        <x:v>E05</x:v>
      </x:c>
      <x:c r="B42" s="139" t="str">
        <x:v>전장</x:v>
      </x:c>
      <x:c r="C42" s="139" t="str">
        <x:v>5V 제어전원</x:v>
      </x:c>
      <x:c r="D42" s="139" t="str">
        <x:v>방수형 24 V-5 V 강압 모듈</x:v>
      </x:c>
      <x:c r="E42" s="139" t="str">
        <x:v>SZH-BPM003, input 15-40 VDC, output 5 VDC 3 A</x:v>
      </x:c>
      <x:c r="F42" s="137" t="n">
        <x:v>1</x:v>
      </x:c>
      <x:c r="G42" s="137" t="n">
        <x:v>1</x:v>
      </x:c>
      <x:c r="H42" s="123" t="str">
        <x:v>EA</x:v>
      </x:c>
      <x:c r="I42" s="123" t="str">
        <x:v>DeviceMart</x:v>
      </x:c>
      <x:c r="J42" s="123" t="str">
        <x:v>1330743/SZH-BPM003</x:v>
      </x:c>
      <x:c r="K42" s="135" t="n">
        <x:v>9350</x:v>
      </x:c>
      <x:c r="L42" s="135" t="n">
        <x:v>9350</x:v>
      </x:c>
      <x:c r="M42" s="139" t="str">
        <x:v>VAT포함 화면가 2026-09-02</x:v>
      </x:c>
      <x:c r="N42" s="139" t="str">
        <x:v>CAD_STAGE_SELECTED</x:v>
      </x:c>
      <x:c r="O42" s="139" t="str">
        <x:v>https://www.devicemart.co.kr/goods/view?no=1330743</x:v>
      </x:c>
      <x:c r="P42" s="139" t="str">
        <x:v>Mega/IMU/엔코더 로직 전용 5 V 분기. 모터 전원과 배선·접지를 분리 배치</x:v>
      </x:c>
    </x:row>
    <x:row r="43" ht="42" customHeight="1">
      <x:c r="A43" s="139" t="str">
        <x:v>E06</x:v>
      </x:c>
      <x:c r="B43" s="139" t="str">
        <x:v>전장</x:v>
      </x:c>
      <x:c r="C43" s="139" t="str">
        <x:v>제어함</x:v>
      </x:c>
      <x:c r="D43" s="139" t="str">
        <x:v>ABS 전장함</x:v>
      </x:c>
      <x:c r="E43" s="139" t="str">
        <x:v>SL902, 400x500x155 mm</x:v>
      </x:c>
      <x:c r="F43" s="137" t="n">
        <x:v>1</x:v>
      </x:c>
      <x:c r="G43" s="137" t="n">
        <x:v>1</x:v>
      </x:c>
      <x:c r="H43" s="123" t="str">
        <x:v>EA</x:v>
      </x:c>
      <x:c r="I43" s="123" t="str">
        <x:v>NAVIMRO</x:v>
      </x:c>
      <x:c r="J43" s="123" t="str">
        <x:v>K07636024</x:v>
      </x:c>
      <x:c r="K43" s="135" t="n">
        <x:v>27489</x:v>
      </x:c>
      <x:c r="L43" s="135" t="n">
        <x:v>27489</x:v>
      </x:c>
      <x:c r="M43" s="139" t="str">
        <x:v>VAT포함 화면가</x:v>
      </x:c>
      <x:c r="N43" s="139" t="str">
        <x:v>HOLD_ELECTRICAL_LAYOUT</x:v>
      </x:c>
      <x:c r="O43" s="139" t="str">
        <x:v>https://www.navimro.com/p/K07636024/</x:v>
      </x:c>
      <x:c r="P43" s="139" t="str">
        <x:v>24V PSU/드라이버3/단자/컨트롤러 배치; 케이블 글랜드 홀은 실부품 배치 후 가공</x:v>
      </x:c>
    </x:row>
    <x:row r="44" ht="42" customHeight="1">
      <x:c r="A44" s="139" t="str">
        <x:v>E07</x:v>
      </x:c>
      <x:c r="B44" s="139" t="str">
        <x:v>전장</x:v>
      </x:c>
      <x:c r="C44" s="139" t="str">
        <x:v>AC 입력</x:v>
      </x:c>
      <x:c r="D44" s="139" t="str">
        <x:v>접지 전원코드</x:v>
      </x:c>
      <x:c r="E44" s="139" t="str">
        <x:v>DYP-G15B, 2 m, 1.5 sq x 3C</x:v>
      </x:c>
      <x:c r="F44" s="137" t="n">
        <x:v>1</x:v>
      </x:c>
      <x:c r="G44" s="137" t="n">
        <x:v>1</x:v>
      </x:c>
      <x:c r="H44" s="123" t="str">
        <x:v>EA</x:v>
      </x:c>
      <x:c r="I44" s="123" t="str">
        <x:v>NAVIMRO</x:v>
      </x:c>
      <x:c r="J44" s="123" t="str">
        <x:v>K08345728</x:v>
      </x:c>
      <x:c r="K44" s="135" t="n">
        <x:v>4389</x:v>
      </x:c>
      <x:c r="L44" s="135" t="n">
        <x:v>4389</x:v>
      </x:c>
      <x:c r="M44" s="139" t="str">
        <x:v>VAT포함 화면가</x:v>
      </x:c>
      <x:c r="N44" s="139" t="str">
        <x:v>CAD_STAGE_SELECTED</x:v>
      </x:c>
      <x:c r="O44" s="139" t="str">
        <x:v>https://www.navimro.com/p/K08345728/</x:v>
      </x:c>
      <x:c r="P44" s="139" t="str">
        <x:v>L/N은 E08로, PE는 E04 섀시와 노출 도전부에 직접 결선</x:v>
      </x:c>
    </x:row>
    <x:row r="45" ht="42" customHeight="1">
      <x:c r="A45" s="139" t="str">
        <x:v>E08</x:v>
      </x:c>
      <x:c r="B45" s="139" t="str">
        <x:v>전장</x:v>
      </x:c>
      <x:c r="C45" s="139" t="str">
        <x:v>AC 입력</x:v>
      </x:c>
      <x:c r="D45" s="139" t="str">
        <x:v>2극 배선용 차단기</x:v>
      </x:c>
      <x:c r="E45" s="139" t="str">
        <x:v>ABE32b, 2P2E, 10 A</x:v>
      </x:c>
      <x:c r="F45" s="137" t="n">
        <x:v>1</x:v>
      </x:c>
      <x:c r="G45" s="137" t="n">
        <x:v>1</x:v>
      </x:c>
      <x:c r="H45" s="123" t="str">
        <x:v>EA</x:v>
      </x:c>
      <x:c r="I45" s="123" t="str">
        <x:v>NAVIMRO</x:v>
      </x:c>
      <x:c r="J45" s="123" t="str">
        <x:v>K04115335</x:v>
      </x:c>
      <x:c r="K45" s="135" t="n">
        <x:v>23089</x:v>
      </x:c>
      <x:c r="L45" s="135" t="n">
        <x:v>23089</x:v>
      </x:c>
      <x:c r="M45" s="139" t="str">
        <x:v>VAT포함 화면가</x:v>
      </x:c>
      <x:c r="N45" s="139" t="str">
        <x:v>CAD_STAGE_SELECTED_SUPERVISED_BENCH</x:v>
      </x:c>
      <x:c r="O45" s="139" t="str">
        <x:v>https://www.navimro.com/p/K04115335/</x:v>
      </x:c>
      <x:c r="P45" s="139" t="str">
        <x:v>접근 가능한 주전원 차단용; 비상정지 성능을 주장하지 않음</x:v>
      </x:c>
    </x:row>
    <x:row r="46" ht="42" customHeight="1">
      <x:c r="A46" s="139" t="str">
        <x:v>E09A</x:v>
      </x:c>
      <x:c r="B46" s="139" t="str">
        <x:v>전장</x:v>
      </x:c>
      <x:c r="C46" s="139" t="str">
        <x:v>24V 분기</x:v>
      </x:c>
      <x:c r="D46" s="139" t="str">
        <x:v>방수 인라인 ATO 퓨즈홀더</x:v>
      </x:c>
      <x:c r="E46" s="139" t="str">
        <x:v>SZH-FU005, ATO/ATC blade fuse holder</x:v>
      </x:c>
      <x:c r="F46" s="137" t="n">
        <x:v>4</x:v>
      </x:c>
      <x:c r="G46" s="137" t="n">
        <x:v>4</x:v>
      </x:c>
      <x:c r="H46" s="123" t="str">
        <x:v>EA</x:v>
      </x:c>
      <x:c r="I46" s="123" t="str">
        <x:v>DeviceMart</x:v>
      </x:c>
      <x:c r="J46" s="123" t="str">
        <x:v>12170196/SZH-FU005</x:v>
      </x:c>
      <x:c r="K46" s="135" t="n">
        <x:v>1870</x:v>
      </x:c>
      <x:c r="L46" s="135" t="n">
        <x:v>7480</x:v>
      </x:c>
      <x:c r="M46" s="139" t="str">
        <x:v>VAT포함 화면가 2026-09-02</x:v>
      </x:c>
      <x:c r="N46" s="139" t="str">
        <x:v>CAD_STAGE_SELECTED</x:v>
      </x:c>
      <x:c r="O46" s="139" t="str">
        <x:v>https://www.devicemart.co.kr/goods/view?no=12170196</x:v>
      </x:c>
      <x:c r="P46" s="139" t="str">
        <x:v>24 V 액추에이터 드라이버 분기 3개와 5 V 로직 분기 1개에 각각 설치</x:v>
      </x:c>
    </x:row>
    <x:row r="47" ht="42" customHeight="1">
      <x:c r="A47" s="139" t="str">
        <x:v>E09B</x:v>
      </x:c>
      <x:c r="B47" s="139" t="str">
        <x:v>전장</x:v>
      </x:c>
      <x:c r="C47" s="139" t="str">
        <x:v>액추에이터 24V 분기</x:v>
      </x:c>
      <x:c r="D47" s="139" t="str">
        <x:v>ATO 블레이드 퓨즈 5 A</x:v>
      </x:c>
      <x:c r="E47" s="139" t="str">
        <x:v>32 VDC automotive blade fuse, 5 A; pack minimum/order quantity 10</x:v>
      </x:c>
      <x:c r="F47" s="137" t="n">
        <x:v>3</x:v>
      </x:c>
      <x:c r="G47" s="137" t="n">
        <x:v>10</x:v>
      </x:c>
      <x:c r="H47" s="123" t="str">
        <x:v>EA</x:v>
      </x:c>
      <x:c r="I47" s="123" t="str">
        <x:v>DeviceMart</x:v>
      </x:c>
      <x:c r="J47" s="123" t="str">
        <x:v>11509/ATO-5A</x:v>
      </x:c>
      <x:c r="K47" s="135" t="n">
        <x:v>110</x:v>
      </x:c>
      <x:c r="L47" s="135" t="n">
        <x:v>1100</x:v>
      </x:c>
      <x:c r="M47" s="139" t="str">
        <x:v>VAT포함 화면가 2026-09-02</x:v>
      </x:c>
      <x:c r="N47" s="139" t="str">
        <x:v>HOLD_ACTUATOR_CURRENT_COMMISSIONING</x:v>
      </x:c>
      <x:c r="O47" s="139" t="str">
        <x:v>https://www.devicemart.co.kr/goods/view?no=11509</x:v>
      </x:c>
      <x:c r="P47" s="139" t="str">
        <x:v>축당 1개, 나머지는 예비. 실측 기동·스톨전류 검토 전 임의 증용량 금지</x:v>
      </x:c>
    </x:row>
    <x:row r="48" ht="42" customHeight="1">
      <x:c r="A48" s="139" t="str">
        <x:v>E09C</x:v>
      </x:c>
      <x:c r="B48" s="139" t="str">
        <x:v>전장</x:v>
      </x:c>
      <x:c r="C48" s="139" t="str">
        <x:v>5V 제어전원 24V 입력</x:v>
      </x:c>
      <x:c r="D48" s="139" t="str">
        <x:v>ATO 블레이드 퓨즈 1 A</x:v>
      </x:c>
      <x:c r="E48" s="139" t="str">
        <x:v>32 VDC automotive blade fuse, 1 A</x:v>
      </x:c>
      <x:c r="F48" s="137" t="n">
        <x:v>1</x:v>
      </x:c>
      <x:c r="G48" s="137" t="n">
        <x:v>3</x:v>
      </x:c>
      <x:c r="H48" s="123" t="str">
        <x:v>EA</x:v>
      </x:c>
      <x:c r="I48" s="123" t="str">
        <x:v>DeviceMart</x:v>
      </x:c>
      <x:c r="J48" s="123" t="str">
        <x:v>16020344/ATO-1A</x:v>
      </x:c>
      <x:c r="K48" s="135" t="n">
        <x:v>726</x:v>
      </x:c>
      <x:c r="L48" s="135" t="n">
        <x:v>2178</x:v>
      </x:c>
      <x:c r="M48" s="139" t="str">
        <x:v>VAT포함 화면가 2026-09-02</x:v>
      </x:c>
      <x:c r="N48" s="139" t="str">
        <x:v>CAD_STAGE_SELECTED</x:v>
      </x:c>
      <x:c r="O48" s="139" t="str">
        <x:v>https://www.devicemart.co.kr/goods/view?no=16020344</x:v>
      </x:c>
      <x:c r="P48" s="139" t="str">
        <x:v>5 V 로직 분기 1개 사용, 2개 예비</x:v>
      </x:c>
    </x:row>
    <x:row r="49" ht="42" customHeight="1">
      <x:c r="A49" s="139" t="str">
        <x:v>E11</x:v>
      </x:c>
      <x:c r="B49" s="139" t="str">
        <x:v>전장</x:v>
      </x:c>
      <x:c r="C49" s="139" t="str">
        <x:v>전장함 분배</x:v>
      </x:c>
      <x:c r="D49" s="139" t="str">
        <x:v>스크루 단자대</x:v>
      </x:c>
      <x:c r="E49" s="139" t="str">
        <x:v>JOTB-20-10, 20A, 10P</x:v>
      </x:c>
      <x:c r="F49" s="137" t="n">
        <x:v>2</x:v>
      </x:c>
      <x:c r="G49" s="137" t="n">
        <x:v>2</x:v>
      </x:c>
      <x:c r="H49" s="123" t="str">
        <x:v>EA</x:v>
      </x:c>
      <x:c r="I49" s="123" t="str">
        <x:v>NAVIMRO</x:v>
      </x:c>
      <x:c r="J49" s="123" t="str">
        <x:v>K02216060</x:v>
      </x:c>
      <x:c r="K49" s="135" t="n">
        <x:v>2739</x:v>
      </x:c>
      <x:c r="L49" s="135" t="n">
        <x:v>5478</x:v>
      </x:c>
      <x:c r="M49" s="139" t="str">
        <x:v>VAT포함 화면가</x:v>
      </x:c>
      <x:c r="N49" s="139" t="str">
        <x:v>CAD_STAGE_SELECTED</x:v>
      </x:c>
      <x:c r="O49" s="139" t="str">
        <x:v>https://www.navimro.com/p/K02216060/</x:v>
      </x:c>
      <x:c r="P49" s="139" t="str">
        <x:v>AC와 SELV 단자대 물리 분리; 커버/이격 확보</x:v>
      </x:c>
    </x:row>
    <x:row r="50" ht="42" customHeight="1">
      <x:c r="A50" s="139" t="str">
        <x:v>E12</x:v>
      </x:c>
      <x:c r="B50" s="139" t="str">
        <x:v>전장</x:v>
      </x:c>
      <x:c r="C50" s="139" t="str">
        <x:v>모터 전력 배선</x:v>
      </x:c>
      <x:c r="D50" s="139" t="str">
        <x:v>14AWG 실리콘 전선 세트</x:v>
      </x:c>
      <x:c r="E50" s="139" t="str">
        <x:v>적/흑/백, 판매 구성 길이 결제 전 재확인</x:v>
      </x:c>
      <x:c r="F50" s="137" t="n">
        <x:v>1</x:v>
      </x:c>
      <x:c r="G50" s="137" t="n">
        <x:v>1</x:v>
      </x:c>
      <x:c r="H50" s="123" t="str">
        <x:v>SET</x:v>
      </x:c>
      <x:c r="I50" s="123" t="str">
        <x:v>NAVIMRO</x:v>
      </x:c>
      <x:c r="J50" s="123" t="str">
        <x:v>K92854706</x:v>
      </x:c>
      <x:c r="K50" s="135" t="n">
        <x:v>82489</x:v>
      </x:c>
      <x:c r="L50" s="135" t="n">
        <x:v>82489</x:v>
      </x:c>
      <x:c r="M50" s="139" t="str">
        <x:v>VAT포함 화면가</x:v>
      </x:c>
      <x:c r="N50" s="139" t="str">
        <x:v>HOLD_VENDOR_CONTENT_VERIFY</x:v>
      </x:c>
      <x:c r="O50" s="139" t="str">
        <x:v>https://www.navimro.com/p/K92854706/</x:v>
      </x:c>
      <x:c r="P50" s="139" t="str">
        <x:v>24V/모터 분기에 적·흑 우선 사용; 세 축 케이블 길이 동등하게 구성</x:v>
      </x:c>
    </x:row>
    <x:row r="51" ht="42" customHeight="1">
      <x:c r="A51" s="139" t="str">
        <x:v>E13</x:v>
      </x:c>
      <x:c r="B51" s="139" t="str">
        <x:v>전장</x:v>
      </x:c>
      <x:c r="C51" s="139" t="str">
        <x:v>엔코더·IMU·드라이버 로직</x:v>
      </x:c>
      <x:c r="D51" s="139" t="str">
        <x:v>24AWG 제어전선 세트</x:v>
      </x:c>
      <x:c r="E51" s="139" t="str">
        <x:v>UL1007, 6색, 총 60 m</x:v>
      </x:c>
      <x:c r="F51" s="137" t="n">
        <x:v>1</x:v>
      </x:c>
      <x:c r="G51" s="137" t="n">
        <x:v>1</x:v>
      </x:c>
      <x:c r="H51" s="123" t="str">
        <x:v>SET</x:v>
      </x:c>
      <x:c r="I51" s="123" t="str">
        <x:v>NAVIMRO</x:v>
      </x:c>
      <x:c r="J51" s="123" t="str">
        <x:v>K92843703</x:v>
      </x:c>
      <x:c r="K51" s="135" t="n">
        <x:v>34089</x:v>
      </x:c>
      <x:c r="L51" s="135" t="n">
        <x:v>34089</x:v>
      </x:c>
      <x:c r="M51" s="139" t="str">
        <x:v>VAT포함 화면가</x:v>
      </x:c>
      <x:c r="N51" s="139" t="str">
        <x:v>CAD_STAGE_SELECTED</x:v>
      </x:c>
      <x:c r="O51" s="139" t="str">
        <x:v>https://www.navimro.com/p/K92843703/</x:v>
      </x:c>
      <x:c r="P51" s="139" t="str">
        <x:v>신호별 색상표를 고정하고 전력선과 분리 배선</x:v>
      </x:c>
    </x:row>
    <x:row r="52" ht="42" customHeight="1">
      <x:c r="A52" s="139" t="str">
        <x:v>E15</x:v>
      </x:c>
      <x:c r="B52" s="139" t="str">
        <x:v>전장</x:v>
      </x:c>
      <x:c r="C52" s="139" t="str">
        <x:v>배선 마감</x:v>
      </x:c>
      <x:c r="D52" s="139" t="str">
        <x:v>열수축튜브 키트</x:v>
      </x:c>
      <x:c r="E52" s="139" t="str">
        <x:v>12종, 750 pcs</x:v>
      </x:c>
      <x:c r="F52" s="137" t="n">
        <x:v>1</x:v>
      </x:c>
      <x:c r="G52" s="137" t="n">
        <x:v>1</x:v>
      </x:c>
      <x:c r="H52" s="123" t="str">
        <x:v>SET</x:v>
      </x:c>
      <x:c r="I52" s="123" t="str">
        <x:v>NAVIMRO</x:v>
      </x:c>
      <x:c r="J52" s="123" t="str">
        <x:v>K52569152</x:v>
      </x:c>
      <x:c r="K52" s="135" t="n">
        <x:v>12089</x:v>
      </x:c>
      <x:c r="L52" s="135" t="n">
        <x:v>12089</x:v>
      </x:c>
      <x:c r="M52" s="139" t="str">
        <x:v>VAT포함 화면가</x:v>
      </x:c>
      <x:c r="N52" s="139" t="str">
        <x:v>CAD_STAGE_SELECTED</x:v>
      </x:c>
      <x:c r="O52" s="139" t="str">
        <x:v>https://www.navimro.com/p/K52569152/</x:v>
      </x:c>
      <x:c r="P52" s="139" t="str">
        <x:v>TVS 리드 절연·하네스 식별·접속부 절연</x:v>
      </x:c>
    </x:row>
    <x:row r="53" ht="42" customHeight="1">
      <x:c r="A53" s="139" t="str">
        <x:v>E16</x:v>
      </x:c>
      <x:c r="B53" s="139" t="str">
        <x:v>전장</x:v>
      </x:c>
      <x:c r="C53" s="139" t="str">
        <x:v>전장함 인입</x:v>
      </x:c>
      <x:c r="D53" s="139" t="str">
        <x:v>케이블 글랜드</x:v>
      </x:c>
      <x:c r="E53" s="139" t="str">
        <x:v>PG13.5, 6-12 mm, 1PK(10EA)</x:v>
      </x:c>
      <x:c r="F53" s="137" t="n">
        <x:v>7</x:v>
      </x:c>
      <x:c r="G53" s="137" t="n">
        <x:v>1</x:v>
      </x:c>
      <x:c r="H53" s="123" t="str">
        <x:v>PK_10</x:v>
      </x:c>
      <x:c r="I53" s="123" t="str">
        <x:v>NAVIMRO</x:v>
      </x:c>
      <x:c r="J53" s="123" t="str">
        <x:v>K22571959</x:v>
      </x:c>
      <x:c r="K53" s="135" t="n">
        <x:v>6919</x:v>
      </x:c>
      <x:c r="L53" s="135" t="n">
        <x:v>6919</x:v>
      </x:c>
      <x:c r="M53" s="139" t="str">
        <x:v>VAT포함 화면가</x:v>
      </x:c>
      <x:c r="N53" s="139" t="str">
        <x:v>CAD_STAGE_SELECTED</x:v>
      </x:c>
      <x:c r="O53" s="139" t="str">
        <x:v>https://www.navimro.com/p/K22571959/</x:v>
      </x:c>
      <x:c r="P53" s="139" t="str">
        <x:v>액추에이터 전력 3+엔코더/제어 3+AC 1 기준</x:v>
      </x:c>
    </x:row>
    <x:row r="54" ht="42" customHeight="1">
      <x:c r="A54" s="139" t="str">
        <x:v>E17</x:v>
      </x:c>
      <x:c r="B54" s="139" t="str">
        <x:v>전장</x:v>
      </x:c>
      <x:c r="C54" s="139" t="str">
        <x:v>단자 마감</x:v>
      </x:c>
      <x:c r="D54" s="139" t="str">
        <x:v>페룰 키트</x:v>
      </x:c>
      <x:c r="E54" s="139" t="str">
        <x:v>DY6330, 0.5/0.75/1.0/1.5/2.5 sq</x:v>
      </x:c>
      <x:c r="F54" s="137" t="n">
        <x:v>1</x:v>
      </x:c>
      <x:c r="G54" s="137" t="n">
        <x:v>1</x:v>
      </x:c>
      <x:c r="H54" s="123" t="str">
        <x:v>SET</x:v>
      </x:c>
      <x:c r="I54" s="123" t="str">
        <x:v>NAVIMRO</x:v>
      </x:c>
      <x:c r="J54" s="123" t="str">
        <x:v>K92839991</x:v>
      </x:c>
      <x:c r="K54" s="135" t="n">
        <x:v>43989</x:v>
      </x:c>
      <x:c r="L54" s="135" t="n">
        <x:v>43989</x:v>
      </x:c>
      <x:c r="M54" s="139" t="str">
        <x:v>VAT포함 화면가</x:v>
      </x:c>
      <x:c r="N54" s="139" t="str">
        <x:v>CAD_STAGE_SELECTED</x:v>
      </x:c>
      <x:c r="O54" s="139" t="str">
        <x:v>https://www.navimro.com/p/K92839991/</x:v>
      </x:c>
      <x:c r="P54" s="139" t="str">
        <x:v>나사 단자에 연선 직접 체결 금지; 규격에 맞는 페룰 압착</x:v>
      </x:c>
    </x:row>
    <x:row r="55" ht="42" customHeight="1">
      <x:c r="A55" s="139" t="str">
        <x:v>E18</x:v>
      </x:c>
      <x:c r="B55" s="139" t="str">
        <x:v>전장</x:v>
      </x:c>
      <x:c r="C55" s="139" t="str">
        <x:v>케이블 고정</x:v>
      </x:c>
      <x:c r="D55" s="139" t="str">
        <x:v>케이블 타이</x:v>
      </x:c>
      <x:c r="E55" s="139" t="str">
        <x:v>J-200 black, 200x4.8 mm, 1PK(1000EA)</x:v>
      </x:c>
      <x:c r="F55" s="137" t="n">
        <x:v>1</x:v>
      </x:c>
      <x:c r="G55" s="137" t="n">
        <x:v>1</x:v>
      </x:c>
      <x:c r="H55" s="123" t="str">
        <x:v>PK_1000</x:v>
      </x:c>
      <x:c r="I55" s="123" t="str">
        <x:v>NAVIMRO</x:v>
      </x:c>
      <x:c r="J55" s="123" t="str">
        <x:v>K01415707</x:v>
      </x:c>
      <x:c r="K55" s="135" t="n">
        <x:v>17039</x:v>
      </x:c>
      <x:c r="L55" s="135" t="n">
        <x:v>17039</x:v>
      </x:c>
      <x:c r="M55" s="139" t="str">
        <x:v>VAT포함 화면가</x:v>
      </x:c>
      <x:c r="N55" s="139" t="str">
        <x:v>CAD_STAGE_SELECTED</x:v>
      </x:c>
      <x:c r="O55" s="139" t="str">
        <x:v>https://www.navimro.com/p/K01415707/</x:v>
      </x:c>
      <x:c r="P55" s="139" t="str">
        <x:v>이동 케이블의 유일한 지지수단으로 사용하지 말고 여유 루프 확보</x:v>
      </x:c>
    </x:row>
    <x:row r="56" ht="42" customHeight="1">
      <x:c r="A56" s="139" t="str">
        <x:v>E19</x:v>
      </x:c>
      <x:c r="B56" s="139" t="str">
        <x:v>전장</x:v>
      </x:c>
      <x:c r="C56" s="139" t="str">
        <x:v>배선 마감</x:v>
      </x:c>
      <x:c r="D56" s="139" t="str">
        <x:v>흑색 PVC 절연테이프</x:v>
      </x:c>
      <x:c r="E56" s="139" t="str">
        <x:v>10 m x 19 mm</x:v>
      </x:c>
      <x:c r="F56" s="137" t="n">
        <x:v>3</x:v>
      </x:c>
      <x:c r="G56" s="137" t="n">
        <x:v>3</x:v>
      </x:c>
      <x:c r="H56" s="123" t="str">
        <x:v>EA</x:v>
      </x:c>
      <x:c r="I56" s="123" t="str">
        <x:v>NAVIMRO</x:v>
      </x:c>
      <x:c r="J56" s="123" t="str">
        <x:v>K40799280</x:v>
      </x:c>
      <x:c r="K56" s="135" t="n">
        <x:v>550</x:v>
      </x:c>
      <x:c r="L56" s="135" t="n">
        <x:v>1650</x:v>
      </x:c>
      <x:c r="M56" s="139" t="str">
        <x:v>VAT포함 화면가</x:v>
      </x:c>
      <x:c r="N56" s="139" t="str">
        <x:v>CAD_STAGE_SELECTED</x:v>
      </x:c>
      <x:c r="O56" s="139" t="str">
        <x:v>https://www.navimro.com/p/K40799280/</x:v>
      </x:c>
      <x:c r="P56" s="139" t="str">
        <x:v>임시 라벨과 하네스 마감; 영구 접속 절연은 E15 사용</x:v>
      </x:c>
    </x:row>
    <x:row r="57" ht="42" customHeight="1">
      <x:c r="A57" s="139" t="str">
        <x:v>E20</x:v>
      </x:c>
      <x:c r="B57" s="139" t="str">
        <x:v>전장</x:v>
      </x:c>
      <x:c r="C57" s="139" t="str">
        <x:v>전장함 내부</x:v>
      </x:c>
      <x:c r="D57" s="139" t="str">
        <x:v>35 mm DIN 레일</x:v>
      </x:c>
      <x:c r="E57" s="139" t="str">
        <x:v>JTRN 4, steel, 1 m; cut to enclosure layout length</x:v>
      </x:c>
      <x:c r="F57" s="137" t="n">
        <x:v>1</x:v>
      </x:c>
      <x:c r="G57" s="137" t="n">
        <x:v>1</x:v>
      </x:c>
      <x:c r="H57" s="123" t="str">
        <x:v>EA</x:v>
      </x:c>
      <x:c r="I57" s="123" t="str">
        <x:v>DeviceMart</x:v>
      </x:c>
      <x:c r="J57" s="123" t="str">
        <x:v>12538843/JTRN-4-1M</x:v>
      </x:c>
      <x:c r="K57" s="135" t="n">
        <x:v>16720</x:v>
      </x:c>
      <x:c r="L57" s="135" t="n">
        <x:v>16720</x:v>
      </x:c>
      <x:c r="M57" s="139" t="str">
        <x:v>VAT포함 환산가, 결제화면 재확인</x:v>
      </x:c>
      <x:c r="N57" s="139" t="str">
        <x:v>HOLD_ENCLOSURE_LAYOUT_CUT_LENGTH</x:v>
      </x:c>
      <x:c r="O57" s="139" t="str">
        <x:v>https://www.devicemart.co.kr/goods/view?no=12538843</x:v>
      </x:c>
      <x:c r="P57" s="139" t="str">
        <x:v>E08 차단기 및 DIN 부품용. 전장함 내부 배치 확정 후 절단·디버링</x:v>
      </x:c>
    </x:row>
    <x:row r="58" ht="42" customHeight="1">
      <x:c r="A58" s="139" t="str">
        <x:v>E21</x:v>
      </x:c>
      <x:c r="B58" s="139" t="str">
        <x:v>전장</x:v>
      </x:c>
      <x:c r="C58" s="139" t="str">
        <x:v>보호접지</x:v>
      </x:c>
      <x:c r="D58" s="139" t="str">
        <x:v>녹/황 접지선</x:v>
      </x:c>
      <x:c r="E58" s="139" t="str">
        <x:v>TFR-GV 2.5 sq, 0.6/1 kV, m 단위</x:v>
      </x:c>
      <x:c r="F58" s="137" t="n">
        <x:v>3</x:v>
      </x:c>
      <x:c r="G58" s="137" t="n">
        <x:v>3</x:v>
      </x:c>
      <x:c r="H58" s="123" t="str">
        <x:v>M</x:v>
      </x:c>
      <x:c r="I58" s="123" t="str">
        <x:v>NAVIMRO</x:v>
      </x:c>
      <x:c r="J58" s="123" t="str">
        <x:v>K55027039</x:v>
      </x:c>
      <x:c r="K58" s="135" t="n">
        <x:v>1419</x:v>
      </x:c>
      <x:c r="L58" s="135" t="n">
        <x:v>4257</x:v>
      </x:c>
      <x:c r="M58" s="139" t="str">
        <x:v>VAT포함 화면가</x:v>
      </x:c>
      <x:c r="N58" s="139" t="str">
        <x:v>CAD_STAGE_SELECTED</x:v>
      </x:c>
      <x:c r="O58" s="139" t="str">
        <x:v>https://www.navimro.com/p/K55027039/</x:v>
      </x:c>
      <x:c r="P58" s="139" t="str">
        <x:v>PE 색상 대체 금지; E07 PE-PSU 섀시-필요 노출 도전부 연결</x:v>
      </x:c>
    </x:row>
    <x:row r="59" ht="42" customHeight="1">
      <x:c r="A59" s="139" t="str">
        <x:v>E22</x:v>
      </x:c>
      <x:c r="B59" s="139" t="str">
        <x:v>전장</x:v>
      </x:c>
      <x:c r="C59" s="139" t="str">
        <x:v>전력·접지 단자</x:v>
      </x:c>
      <x:c r="D59" s="139" t="str">
        <x:v>절연 압착단자 키트</x:v>
      </x:c>
      <x:c r="E59" s="139" t="str">
        <x:v>링/포크 단자 150 pcs</x:v>
      </x:c>
      <x:c r="F59" s="137" t="n">
        <x:v>1</x:v>
      </x:c>
      <x:c r="G59" s="137" t="n">
        <x:v>1</x:v>
      </x:c>
      <x:c r="H59" s="123" t="str">
        <x:v>SET</x:v>
      </x:c>
      <x:c r="I59" s="123" t="str">
        <x:v>NAVIMRO</x:v>
      </x:c>
      <x:c r="J59" s="123" t="str">
        <x:v>K92807634</x:v>
      </x:c>
      <x:c r="K59" s="135" t="n">
        <x:v>7249</x:v>
      </x:c>
      <x:c r="L59" s="135" t="n">
        <x:v>7249</x:v>
      </x:c>
      <x:c r="M59" s="139" t="str">
        <x:v>VAT포함 화면가</x:v>
      </x:c>
      <x:c r="N59" s="139" t="str">
        <x:v>HOLD_SIZE_VERIFY</x:v>
      </x:c>
      <x:c r="O59" s="139" t="str">
        <x:v>https://www.navimro.com/p/K92807634/</x:v>
      </x:c>
      <x:c r="P59" s="139" t="str">
        <x:v>1.5-2.5 sq 및 M4/M5 링·포크 포함 여부 결제 전 확인</x:v>
      </x:c>
    </x:row>
    <x:row r="60" ht="42" customHeight="1">
      <x:c r="A60" s="139" t="str">
        <x:v>E23</x:v>
      </x:c>
      <x:c r="B60" s="139" t="str">
        <x:v>전장</x:v>
      </x:c>
      <x:c r="C60" s="139" t="str">
        <x:v>제어보드 장착</x:v>
      </x:c>
      <x:c r="D60" s="139" t="str">
        <x:v>M3 PCB 서포트·나사 키트</x:v>
      </x:c>
      <x:c r="E60" s="139" t="str">
        <x:v>NT-KIT-E018, 플라스틱 M3</x:v>
      </x:c>
      <x:c r="F60" s="137" t="n">
        <x:v>1</x:v>
      </x:c>
      <x:c r="G60" s="137" t="n">
        <x:v>1</x:v>
      </x:c>
      <x:c r="H60" s="123" t="str">
        <x:v>SET</x:v>
      </x:c>
      <x:c r="I60" s="123" t="str">
        <x:v>NAVIMRO</x:v>
      </x:c>
      <x:c r="J60" s="123" t="str">
        <x:v>K28009916</x:v>
      </x:c>
      <x:c r="K60" s="135" t="n">
        <x:v>14289</x:v>
      </x:c>
      <x:c r="L60" s="135" t="n">
        <x:v>14289</x:v>
      </x:c>
      <x:c r="M60" s="139" t="str">
        <x:v>VAT포함 화면가</x:v>
      </x:c>
      <x:c r="N60" s="139" t="str">
        <x:v>CAD_STAGE_SELECTED</x:v>
      </x:c>
      <x:c r="O60" s="139" t="str">
        <x:v>https://www.navimro.com/p/K28009916/</x:v>
      </x:c>
      <x:c r="P60" s="139" t="str">
        <x:v>Mega2560과 E05 소형 모듈 장착; 발열부 DMD/PSU에는 사용하지 않음</x:v>
      </x:c>
    </x:row>
    <x:row r="61" ht="42" customHeight="1">
      <x:c r="A61" s="139" t="str">
        <x:v>E24</x:v>
      </x:c>
      <x:c r="B61" s="139" t="str">
        <x:v>전장</x:v>
      </x:c>
      <x:c r="C61" s="139" t="str">
        <x:v>Mega2560 신호 배선</x:v>
      </x:c>
      <x:c r="D61" s="139" t="str">
        <x:v>2.54 mm 점퍼 케이블</x:v>
      </x:c>
      <x:c r="E61" s="139" t="str">
        <x:v>40P M/F, 20 cm, KEYES</x:v>
      </x:c>
      <x:c r="F61" s="137" t="n">
        <x:v>1</x:v>
      </x:c>
      <x:c r="G61" s="137" t="n">
        <x:v>1</x:v>
      </x:c>
      <x:c r="H61" s="123" t="str">
        <x:v>EA</x:v>
      </x:c>
      <x:c r="I61" s="123" t="str">
        <x:v>NAVIMRO</x:v>
      </x:c>
      <x:c r="J61" s="123" t="str">
        <x:v>K28006026</x:v>
      </x:c>
      <x:c r="K61" s="135" t="n">
        <x:v>1529</x:v>
      </x:c>
      <x:c r="L61" s="135" t="n">
        <x:v>1529</x:v>
      </x:c>
      <x:c r="M61" s="139" t="str">
        <x:v>VAT포함 화면가</x:v>
      </x:c>
      <x:c r="N61" s="139" t="str">
        <x:v>CAD_STAGE_SELECTED</x:v>
      </x:c>
      <x:c r="O61" s="139" t="str">
        <x:v>https://www.navimro.com/p/K28006026/</x:v>
      </x:c>
      <x:c r="P61" s="139" t="str">
        <x:v>필요 가닥을 분리해 암단을 Mega 헤더에 사용하고 반대쪽은 절단·탈피 후 단자대로 연결</x:v>
      </x:c>
    </x:row>
  </x:sheetData>
  <x:conditionalFormatting sqref="N2:N61">
    <x:cfRule type="containsText" dxfId="0" priority="1" operator="containsText" text="HOLD"/>
    <x:cfRule type="containsText" dxfId="1" priority="2" operator="containsText" text="CAD_STAGE"/>
    <x:cfRule type="containsText" dxfId="2" priority="3" operator="containsText" text="QUOTE"/>
  </x:conditionalFormatting>
  <x:pageMargins left="0.7" right="0.7" top="0.75" bottom="0.75" header="0.3" footer="0.3"/>
  <x:tableParts count="1">
    <x:tablePart xmlns:r="http://schemas.openxmlformats.org/officeDocument/2006/relationships" r:id="Radaa178fcc604c7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14" hidden="0" customWidth="1"/>
    <x:col min="4" max="4" width="32" hidden="0" customWidth="1"/>
  </x:cols>
  <x:sheetData>
    <x:row r="1" ht="34" customHeight="1">
      <x:c r="A1" s="55" t="str">
        <x:v>Profile Radial 3-RPS Rev E CAD 단계 BOM</x:v>
      </x:c>
      <x:c r="B1" s="55"/>
      <x:c r="C1" s="55"/>
      <x:c r="D1" s="55"/>
    </x:row>
    <x:row r="2">
      <x:c r="A2" s="89"/>
      <x:c r="B2" s="89"/>
      <x:c r="C2" s="89"/>
      <x:c r="D2" s="89"/>
    </x:row>
    <x:row r="3">
      <x:c r="A3" s="90" t="str">
        <x:v>기준일</x:v>
      </x:c>
      <x:c r="B3" s="89" t="str">
        <x:v>2026-09-02</x:v>
      </x:c>
      <x:c r="C3" s="89"/>
      <x:c r="D3" s="89"/>
    </x:row>
    <x:row r="4">
      <x:c r="A4" s="90" t="str">
        <x:v>예산 상한</x:v>
      </x:c>
      <x:c r="B4" s="91" t="n">
        <x:v>4000000</x:v>
      </x:c>
      <x:c r="C4" s="89"/>
      <x:c r="D4" s="89"/>
    </x:row>
    <x:row r="5">
      <x:c r="A5" s="90" t="str">
        <x:v>확인 화면가 합계</x:v>
      </x:c>
      <x:c r="B5" s="91" t="n">
        <x:f>SUM('BOM'!$L$2:$L$61)</x:f>
        <x:v>1268724</x:v>
      </x:c>
      <x:c r="C5" s="89"/>
      <x:c r="D5" s="89"/>
    </x:row>
    <x:row r="6">
      <x:c r="A6" s="90" t="str">
        <x:v>가공 견적 미포함 행</x:v>
      </x:c>
      <x:c r="B6" s="92" t="n">
        <x:f>COUNTIF('BOM'!$K$2:$K$61,0)</x:f>
        <x:v>9</x:v>
      </x:c>
      <x:c r="C6" s="89"/>
      <x:c r="D6" s="89"/>
    </x:row>
    <x:row r="7">
      <x:c r="A7" s="90" t="str">
        <x:v>가공·배송 전 예산 잔액</x:v>
      </x:c>
      <x:c r="B7" s="91" t="n">
        <x:f>B4-B5</x:f>
        <x:v>2731276</x:v>
      </x:c>
      <x:c r="C7" s="89"/>
      <x:c r="D7" s="89"/>
    </x:row>
    <x:row r="8">
      <x:c r="A8" s="90" t="str">
        <x:v>구매 승인</x:v>
      </x:c>
      <x:c r="B8" s="93" t="str">
        <x:v>FALSE</x:v>
      </x:c>
      <x:c r="C8" s="89"/>
      <x:c r="D8" s="89"/>
    </x:row>
    <x:row r="9">
      <x:c r="A9" s="90" t="str">
        <x:v>제작 승인</x:v>
      </x:c>
      <x:c r="B9" s="93" t="str">
        <x:v>FALSE</x:v>
      </x:c>
      <x:c r="C9" s="89"/>
      <x:c r="D9" s="89"/>
    </x:row>
    <x:row r="10">
      <x:c r="A10" s="89"/>
      <x:c r="B10" s="89"/>
      <x:c r="C10" s="89"/>
      <x:c r="D10" s="89"/>
    </x:row>
    <x:row r="11">
      <x:c r="A11" s="94" t="str">
        <x:v>현재 판정</x:v>
      </x:c>
      <x:c r="B11" s="94"/>
      <x:c r="C11" s="94"/>
      <x:c r="D11" s="94"/>
    </x:row>
    <x:row r="12" ht="26" customHeight="1">
      <x:c r="A12" s="95" t="str">
        <x:v>CAD 단계는 완료했습니다. 27자세 운동학, OpenCascade 교차검사와 Fusion 간섭검사 3회가 통과했습니다. LMB-10 공급도면, 액추에이터 전류·핀맵, 맞춤판 제작도면과 단축 통전시험이 남아 있어 지금은 주문·제작 승인 상태가 아닙니다.</x:v>
      </x:c>
      <x:c r="B12" s="96"/>
      <x:c r="C12" s="96"/>
      <x:c r="D12" s="97"/>
    </x:row>
    <x:row r="13" ht="26" customHeight="1">
      <x:c r="A13" s="98"/>
      <x:c r="B13" s="99"/>
      <x:c r="C13" s="99"/>
      <x:c r="D13" s="100"/>
    </x:row>
    <x:row r="14" ht="26" customHeight="1">
      <x:c r="A14" s="98"/>
      <x:c r="B14" s="99"/>
      <x:c r="C14" s="99"/>
      <x:c r="D14" s="100"/>
    </x:row>
    <x:row r="15" ht="26" customHeight="1">
      <x:c r="A15" s="101"/>
      <x:c r="B15" s="102"/>
      <x:c r="C15" s="102"/>
      <x:c r="D15" s="103"/>
    </x:row>
    <x:row r="16">
      <x:c r="A16" s="89"/>
      <x:c r="B16" s="89"/>
      <x:c r="C16" s="89"/>
      <x:c r="D16" s="89"/>
    </x:row>
    <x:row r="17">
      <x:c r="A17" s="94" t="str">
        <x:v>핵심 제어부</x:v>
      </x:c>
      <x:c r="B17" s="94"/>
      <x:c r="C17" s="94"/>
      <x:c r="D17" s="94"/>
    </x:row>
    <x:row r="18">
      <x:c r="A18" s="104" t="str">
        <x:v>기능</x:v>
      </x:c>
      <x:c r="B18" s="104" t="str">
        <x:v>품목</x:v>
      </x:c>
      <x:c r="C18" s="104" t="str">
        <x:v>수량</x:v>
      </x:c>
      <x:c r="D18" s="104" t="str">
        <x:v>비고</x:v>
      </x:c>
    </x:row>
    <x:row r="19">
      <x:c r="A19" s="89" t="str">
        <x:v>액추에이터</x:v>
      </x:c>
      <x:c r="B19" s="89" t="str">
        <x:v>LM4075OE-1075 24 V/100 mm/encoder</x:v>
      </x:c>
      <x:c r="C19" s="92" t="n">
        <x:v>3</x:v>
      </x:c>
      <x:c r="D19" s="89" t="str">
        <x:v>실제 STEP 반영</x:v>
      </x:c>
    </x:row>
    <x:row r="20">
      <x:c r="A20" s="89" t="str">
        <x:v>모터 드라이버</x:v>
      </x:c>
      <x:c r="B20" s="89" t="str">
        <x:v>Cytron MDD10A 2채널</x:v>
      </x:c>
      <x:c r="C20" s="92" t="n">
        <x:v>2</x:v>
      </x:c>
      <x:c r="D20" s="89" t="str">
        <x:v>4채널 중 3채널 사용</x:v>
      </x:c>
    </x:row>
    <x:row r="21">
      <x:c r="A21" s="89" t="str">
        <x:v>제어보드</x:v>
      </x:c>
      <x:c r="B21" s="89" t="str">
        <x:v>SunFounder TS0481 Mega2560 호환</x:v>
      </x:c>
      <x:c r="C21" s="92" t="n">
        <x:v>1</x:v>
      </x:c>
      <x:c r="D21" s="89" t="str">
        <x:v>Type-C 케이블 포함</x:v>
      </x:c>
    </x:row>
    <x:row r="22">
      <x:c r="A22" s="89" t="str">
        <x:v>자세 센서</x:v>
      </x:c>
      <x:c r="B22" s="89" t="str">
        <x:v>MPU6050/GY-521</x:v>
      </x:c>
      <x:c r="C22" s="92" t="n">
        <x:v>1</x:v>
      </x:c>
      <x:c r="D22" s="89" t="str">
        <x:v>장착 후 보정</x:v>
      </x:c>
    </x:row>
    <x:row r="23">
      <x:c r="A23" s="89" t="str">
        <x:v>전원</x:v>
      </x:c>
      <x:c r="B23" s="89" t="str">
        <x:v>Mean Well LRS-350-24</x:v>
      </x:c>
      <x:c r="C23" s="92" t="n">
        <x:v>1</x:v>
      </x:c>
      <x:c r="D23" s="89" t="str">
        <x:v>24 V / 14.6 A</x:v>
      </x:c>
    </x:row>
  </x:sheetData>
  <x:mergeCells>
    <x:mergeCell ref="A1:D1"/>
    <x:mergeCell ref="A11:D11"/>
    <x:mergeCell ref="A12:D15"/>
    <x:mergeCell ref="A17:D17"/>
  </x:mergeCells>
  <x:pageMargins left="0.7" right="0.7" top="0.75" bottom="0.75" header="0.3" footer="0.3"/>
</x:worksheet>
</file>