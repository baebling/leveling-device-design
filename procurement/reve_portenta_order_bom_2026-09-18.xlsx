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f91afd3784794786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BOM" sheetId="1" r:id="Rcd9caaed15a04103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#,##0&quot; 원&quot;"/>
  </x:numFmts>
  <x:fonts count="9">
    <x:font>
      <x:sz val="11"/>
      <x:name val="Carlito"/>
    </x:font>
    <x:font>
      <x:sz val="10"/>
      <x:color rgb="FF172B3A"/>
      <x:name val="Malgun Gothic"/>
    </x:font>
    <x:font>
      <x:b/>
      <x:sz val="20"/>
      <x:color rgb="FF172B3A"/>
      <x:name val="Malgun Gothic"/>
    </x:font>
    <x:font>
      <x:b/>
      <x:sz val="18"/>
      <x:color rgb="FF9B5700"/>
      <x:name val="Malgun Gothic"/>
    </x:font>
    <x:font>
      <x:b/>
      <x:sz val="10"/>
      <x:color rgb="FF9B5700"/>
      <x:name val="Malgun Gothic"/>
    </x:font>
    <x:font>
      <x:b/>
      <x:sz val="10"/>
      <x:color rgb="FFA55C00"/>
      <x:name val="Malgun Gothic"/>
    </x:font>
    <x:font>
      <x:b/>
      <x:sz val="10"/>
      <x:color rgb="FFFFFFFF"/>
      <x:name val="Malgun Gothic"/>
    </x:font>
    <x:font>
      <x:sz val="9"/>
      <x:color rgb="FF536875"/>
      <x:name val="Malgun Gothic"/>
    </x:font>
    <x:font>
      <x:b/>
      <x:sz val="10"/>
      <x:color rgb="FF172B3A"/>
      <x:name val="Malgun Gothic"/>
    </x:font>
  </x:fonts>
  <x:fills count="5">
    <x:fill>
      <x:patternFill patternType="none"/>
    </x:fill>
    <x:fill>
      <x:patternFill patternType="gray125"/>
    </x:fill>
    <x:fill>
      <x:patternFill patternType="solid">
        <x:fgColor rgb="FF243E50"/>
      </x:patternFill>
    </x:fill>
    <x:fill>
      <x:patternFill patternType="solid">
        <x:fgColor rgb="FFF4F7F9"/>
      </x:patternFill>
    </x:fill>
    <x:fill>
      <x:patternFill patternType="solid">
        <x:fgColor rgb="FFFFF1DA"/>
      </x:patternFill>
    </x:fill>
  </x:fills>
  <x:borders count="2">
    <x:border/>
    <x:border>
      <x:top style="thin">
        <x:color rgb="FF78909C"/>
      </x:top>
    </x:border>
  </x:borders>
  <x:cellStyleXfs count="1">
    <x:xf numFmtId="0" fontId="0" fillId="0" borderId="0"/>
  </x:cellStyleXfs>
  <x:cellXfs count="25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1" fillId="0" borderId="0" xfId="0" applyNumberFormat="1" applyFont="1" applyFill="1" applyBorder="1" applyAlignment="1">
      <x:alignment vertical="center" wrapText="1"/>
    </x:xf>
    <x:xf numFmtId="0" fontId="2" fillId="0" borderId="0" xfId="0" applyNumberFormat="1" applyFont="1" applyFill="1" applyBorder="1" applyAlignment="1">
      <x:alignment vertical="center" wrapText="1"/>
    </x:xf>
    <x:xf numFmtId="200" fontId="1" fillId="0" borderId="0" xfId="0" applyNumberFormat="1" applyFont="1" applyFill="1" applyBorder="1" applyAlignment="1">
      <x:alignment vertical="center" wrapText="1"/>
    </x:xf>
    <x:xf numFmtId="200" fontId="3" fillId="0" borderId="0" xfId="0" applyNumberFormat="1" applyFont="1" applyFill="1" applyBorder="1" applyAlignment="1">
      <x:alignment vertical="center" wrapText="1"/>
    </x:xf>
    <x:xf numFmtId="0" fontId="4" fillId="0" borderId="0" xfId="0" applyNumberFormat="1" applyFont="1" applyFill="1" applyBorder="1" applyAlignment="1">
      <x:alignment vertical="center" wrapText="1"/>
    </x:xf>
    <x:xf numFmtId="0" fontId="5" fillId="0" borderId="0" xfId="0" applyNumberFormat="1" applyFont="1" applyFill="1" applyBorder="1" applyAlignment="1">
      <x:alignment vertical="center" wrapText="1"/>
    </x:xf>
    <x:xf numFmtId="0" fontId="1" fillId="2" borderId="0" xfId="0" applyNumberFormat="1" applyFont="1" applyFill="1" applyBorder="1" applyAlignment="1">
      <x:alignment vertical="center" wrapText="1"/>
    </x:xf>
    <x:xf numFmtId="0" fontId="6" fillId="2" borderId="0" xfId="0" applyNumberFormat="1" applyFont="1" applyFill="1" applyBorder="1" applyAlignment="1">
      <x:alignment vertical="center" wrapText="1"/>
    </x:xf>
    <x:xf numFmtId="0" fontId="6" fillId="0" borderId="0" xfId="0" applyNumberFormat="1" applyFont="1" applyFill="1" applyBorder="1" applyAlignment="1">
      <x:alignment vertical="center" wrapText="1"/>
    </x:xf>
    <x:xf numFmtId="0" fontId="7" fillId="0" borderId="0" xfId="0" applyNumberFormat="1" applyFont="1" applyFill="1" applyBorder="1" applyAlignment="1">
      <x:alignment vertical="center" wrapText="1"/>
    </x:xf>
    <x:xf numFmtId="0" fontId="1" fillId="3" borderId="0" xfId="0" applyNumberFormat="1" applyFont="1" applyFill="1" applyBorder="1" applyAlignment="1">
      <x:alignment vertical="center" wrapText="1"/>
    </x:xf>
    <x:xf numFmtId="0" fontId="1" fillId="4" borderId="0" xfId="0" applyNumberFormat="1" applyFont="1" applyFill="1" applyBorder="1" applyAlignment="1">
      <x:alignment vertical="center" wrapText="1"/>
    </x:xf>
    <x:xf numFmtId="0" fontId="4" fillId="4" borderId="0" xfId="0" applyNumberFormat="1" applyFont="1" applyFill="1" applyBorder="1" applyAlignment="1">
      <x:alignment vertical="center" wrapText="1"/>
    </x:xf>
    <x:xf numFmtId="200" fontId="1" fillId="3" borderId="0" xfId="0" applyNumberFormat="1" applyFont="1" applyFill="1" applyBorder="1" applyAlignment="1">
      <x:alignment vertical="center" wrapText="1"/>
    </x:xf>
    <x:xf numFmtId="0" fontId="1" fillId="0" borderId="0" xfId="0" applyNumberFormat="1" applyFont="1" applyFill="1" applyBorder="1" applyAlignment="1">
      <x:alignment horizontal="right" vertical="center" wrapText="1"/>
    </x:xf>
    <x:xf numFmtId="200" fontId="1" fillId="0" borderId="0" xfId="0" applyNumberFormat="1" applyFont="1" applyFill="1" applyBorder="1" applyAlignment="1">
      <x:alignment horizontal="right" vertical="center" wrapText="1"/>
    </x:xf>
    <x:xf numFmtId="0" fontId="1" fillId="3" borderId="0" xfId="0" applyNumberFormat="1" applyFont="1" applyFill="1" applyBorder="1" applyAlignment="1">
      <x:alignment horizontal="right" vertical="center" wrapText="1"/>
    </x:xf>
    <x:xf numFmtId="200" fontId="1" fillId="3" borderId="0" xfId="0" applyNumberFormat="1" applyFont="1" applyFill="1" applyBorder="1" applyAlignment="1">
      <x:alignment horizontal="right" vertical="center" wrapText="1"/>
    </x:xf>
    <x:xf numFmtId="0" fontId="8" fillId="0" borderId="0" xfId="0" applyNumberFormat="1" applyFont="1" applyFill="1" applyBorder="1" applyAlignment="1">
      <x:alignment vertical="center" wrapText="1"/>
    </x:xf>
    <x:xf numFmtId="200" fontId="8" fillId="0" borderId="0" xfId="0" applyNumberFormat="1" applyFont="1" applyFill="1" applyBorder="1" applyAlignment="1">
      <x:alignment vertical="center" wrapText="1"/>
    </x:xf>
    <x:xf numFmtId="0" fontId="8" fillId="0" borderId="1" xfId="0" applyNumberFormat="1" applyFont="1" applyFill="1" applyBorder="1" applyAlignment="1">
      <x:alignment vertical="center" wrapText="1"/>
    </x:xf>
    <x:xf numFmtId="200" fontId="8" fillId="0" borderId="1" xfId="0" applyNumberFormat="1" applyFont="1" applyFill="1" applyBorder="1" applyAlignment="1">
      <x:alignment vertical="center"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a249dea557b446b1" /><Relationship Type="http://schemas.openxmlformats.org/officeDocument/2006/relationships/theme" Target="/xl/theme/theme1.xml" Id="R29da68021cfc4a24" /><Relationship Type="http://schemas.openxmlformats.org/officeDocument/2006/relationships/sharedStrings" Target="/xl/sharedStrings.xml" Id="Rfe50c15b256a4487" /><Relationship Type="http://schemas.openxmlformats.org/officeDocument/2006/relationships/worksheet" Target="/xl/worksheets/sheet1.xml" Id="Rcd9caaed15a04103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>
      <x:pane ySplit="8" topLeftCell="A9" activePane="bottomLeft" state="frozen"/>
    </x:sheetView>
  </x:sheetViews>
  <x:sheetFormatPr defaultRowHeight="15"/>
  <x:cols>
    <x:col min="1" max="1" width="7.5" hidden="0" customWidth="1"/>
    <x:col min="2" max="2" width="8" hidden="0" customWidth="1"/>
    <x:col min="3" max="3" width="25.6299991607666" hidden="0" customWidth="1"/>
    <x:col min="4" max="4" width="33.130001068115234" hidden="0" customWidth="1"/>
    <x:col min="5" max="5" width="18.75" hidden="0" customWidth="1"/>
    <x:col min="6" max="6" width="6.75" hidden="0" customWidth="1"/>
    <x:col min="7" max="7" width="6.75" hidden="0" customWidth="1"/>
    <x:col min="8" max="8" width="7.25" hidden="0" customWidth="1"/>
    <x:col min="9" max="9" width="13.130000114440918" hidden="0" customWidth="1"/>
    <x:col min="10" max="10" width="14.380000114440918" hidden="0" customWidth="1"/>
    <x:col min="11" max="11" width="30.6299991607666" hidden="0" customWidth="1"/>
    <x:col min="12" max="12" width="50.630001068115234" hidden="0" customWidth="1"/>
    <x:col min="13" max="13" width="2.5" hidden="0" customWidth="1"/>
    <x:col min="14" max="14" width="36.25" hidden="0" customWidth="1"/>
  </x:cols>
  <x:sheetData>
    <x:row r="1" ht="38" customHeight="1">
      <x:c r="A1" s="4" t="str">
        <x:v>Rev E | Portenta / DMC-200 발주 검토 BOM</x:v>
      </x:c>
      <x:c r="B1" s="4"/>
      <x:c r="C1" s="4"/>
      <x:c r="D1" s="4"/>
      <x:c r="E1" s="4"/>
      <x:c r="F1" s="4"/>
      <x:c r="G1" s="4"/>
      <x:c r="H1" s="4"/>
      <x:c r="I1" s="4"/>
      <x:c r="J1" s="4"/>
      <x:c r="K1" s="4"/>
      <x:c r="L1" s="4"/>
      <x:c r="M1" s="4"/>
      <x:c r="N1" s="4"/>
    </x:row>
    <x:row r="2" ht="26" customHeight="1">
      <x:c r="A2" s="3" t="str">
        <x:v>공개형 자중 PoC · Z 50 mm · START 후 작동 · 내장 리미트만 사용 · 구매 승인 문서 아님</x:v>
      </x:c>
      <x:c r="B2" s="3"/>
      <x:c r="C2" s="3"/>
      <x:c r="D2" s="3"/>
      <x:c r="E2" s="3"/>
      <x:c r="F2" s="3"/>
      <x:c r="G2" s="3"/>
      <x:c r="H2" s="3"/>
      <x:c r="I2" s="3"/>
      <x:c r="J2" s="3"/>
      <x:c r="K2" s="3"/>
      <x:c r="L2" s="3"/>
      <x:c r="M2" s="3"/>
      <x:c r="N2" s="3"/>
    </x:row>
    <x:row r="3" ht="36" customHeight="1">
      <x:c r="A3" s="3" t="str">
        <x:v>BASE 계획총액 (미확정 수입·운임 충당 포함)</x:v>
      </x:c>
      <x:c r="B3" s="3"/>
      <x:c r="C3" s="3"/>
      <x:c r="D3" s="3"/>
      <x:c r="E3" s="6" t="n">
        <x:f>SUMIF(A9:A76,"BASE",J9:J76)</x:f>
        <x:v>3948854</x:v>
      </x:c>
      <x:c r="F3" s="6"/>
      <x:c r="G3" s="6"/>
      <x:c r="H3" s="7" t="str">
        <x:f>IF(AND(E3&gt;=3800000,E3&lt;=4000000),"판정 보류","판정 보류 (계획범위 이탈)")</x:f>
        <x:v>판정 보류</x:v>
      </x:c>
      <x:c r="I3" s="7"/>
      <x:c r="J3" s="7"/>
      <x:c r="K3" s="3" t="str">
        <x:v>계획값 목표3,800,000–4,000,000원 / PC01 실제 도착원가 확인 전 예산 판정 보류</x:v>
      </x:c>
      <x:c r="L3" s="3"/>
      <x:c r="M3" s="3"/>
      <x:c r="N3" s="3"/>
    </x:row>
    <x:row r="4" ht="28" customHeight="1">
      <x:c r="A4" s="8" t="str">
        <x:v>구매 릴리스: HOLD_VENDOR_REPLY | DMC 호환·opcode·3노드 + 제어퓨즈 정격 + 전장 배치 미확정</x:v>
      </x:c>
      <x:c r="B4" s="8"/>
      <x:c r="C4" s="8"/>
      <x:c r="D4" s="8"/>
      <x:c r="E4" s="8"/>
      <x:c r="F4" s="8"/>
      <x:c r="G4" s="8"/>
      <x:c r="H4" s="8"/>
      <x:c r="I4" s="8"/>
      <x:c r="J4" s="8"/>
      <x:c r="K4" s="8"/>
      <x:c r="L4" s="8"/>
      <x:c r="M4" s="8"/>
      <x:c r="N4" s="8"/>
    </x:row>
    <x:row r="5" ht="25" customHeight="1">
      <x:c r="A5" s="3" t="str">
        <x:v>PC01 추가 관부가세 고객 부담: AL01 109,333원은20% 계획 충당(확정 세액 아님). 납기 화면4~5일 vs 해외약관10~15일 충돌.</x:v>
      </x:c>
      <x:c r="B5" s="3"/>
      <x:c r="C5" s="3"/>
      <x:c r="D5" s="3"/>
      <x:c r="E5" s="3"/>
      <x:c r="F5" s="3"/>
      <x:c r="G5" s="3"/>
      <x:c r="H5" s="3"/>
      <x:c r="I5" s="3"/>
      <x:c r="J5" s="3"/>
      <x:c r="K5" s="3"/>
      <x:c r="L5" s="3"/>
      <x:c r="M5" s="3"/>
      <x:c r="N5" s="3"/>
    </x:row>
    <x:row r="6" ht="25" customHeight="1">
      <x:c r="A6" s="3" t="str">
        <x:v>MV01/MV02는 독립 Z 측정·보고서 증거용입니다. 제어 피드백 아님. Ø8 mm 결합 확인 / 4040 체결·도달범위는 조립 검증.</x:v>
      </x:c>
      <x:c r="B6" s="3"/>
      <x:c r="C6" s="3"/>
      <x:c r="D6" s="3"/>
      <x:c r="E6" s="3"/>
      <x:c r="F6" s="3"/>
      <x:c r="G6" s="3"/>
      <x:c r="H6" s="3"/>
      <x:c r="I6" s="3"/>
      <x:c r="J6" s="3"/>
      <x:c r="K6" s="3"/>
      <x:c r="L6" s="3"/>
      <x:c r="M6" s="3"/>
      <x:c r="N6" s="3"/>
    </x:row>
    <x:row r="7">
      <x:c r="A7" s="3"/>
      <x:c r="B7" s="3"/>
      <x:c r="C7" s="3"/>
      <x:c r="D7" s="3"/>
      <x:c r="E7" s="3"/>
      <x:c r="F7" s="3"/>
      <x:c r="G7" s="3"/>
      <x:c r="H7" s="3"/>
      <x:c r="I7" s="3"/>
      <x:c r="J7" s="3"/>
      <x:c r="K7" s="3"/>
      <x:c r="L7" s="3"/>
      <x:c r="M7" s="3"/>
      <x:c r="N7" s="3"/>
    </x:row>
    <x:row r="8" ht="30" customHeight="1">
      <x:c r="A8" s="10" t="str">
        <x:v>구분</x:v>
      </x:c>
      <x:c r="B8" s="10" t="str">
        <x:v>ID</x:v>
      </x:c>
      <x:c r="C8" s="10" t="str">
        <x:v>품목</x:v>
      </x:c>
      <x:c r="D8" s="10" t="str">
        <x:v>규격 / 상품번호</x:v>
      </x:c>
      <x:c r="E8" s="10" t="str">
        <x:v>공급처</x:v>
      </x:c>
      <x:c r="F8" s="10" t="str">
        <x:v>사용</x:v>
      </x:c>
      <x:c r="G8" s="10" t="str">
        <x:v>주문</x:v>
      </x:c>
      <x:c r="H8" s="10" t="str">
        <x:v>단위</x:v>
      </x:c>
      <x:c r="I8" s="10" t="str">
        <x:v>표시가 / 충당</x:v>
      </x:c>
      <x:c r="J8" s="10" t="str">
        <x:v>계획금액</x:v>
      </x:c>
      <x:c r="K8" s="10" t="str">
        <x:v>품목 상태 / 납기</x:v>
      </x:c>
      <x:c r="L8" s="10" t="str">
        <x:v>조립·검증 / 출하 주의</x:v>
      </x:c>
      <x:c r="M8" s="11" t="str"/>
      <x:c r="N8" s="10" t="str">
        <x:v>구매 URL / 증빙</x:v>
      </x:c>
    </x:row>
    <x:row r="9" ht="95" customHeight="1">
      <x:c r="A9" s="3" t="str">
        <x:v>BASE</x:v>
      </x:c>
      <x:c r="B9" s="3" t="str">
        <x:v>S01</x:v>
      </x:c>
      <x:c r="C9" s="3" t="str">
        <x:v>하부 4040 프로파일 700 mm</x:v>
      </x:c>
      <x:c r="D9" s="3" t="str">
        <x:v>DNF4040/M8, 40×40, 흑색, 직각절단</x:v>
      </x:c>
      <x:c r="E9" s="3" t="str">
        <x:v>나비엠알오</x:v>
      </x:c>
      <x:c r="F9" s="17" t="n">
        <x:v>2</x:v>
      </x:c>
      <x:c r="G9" s="17" t="n">
        <x:v>2</x:v>
      </x:c>
      <x:c r="H9" s="17" t="str">
        <x:v>EA</x:v>
      </x:c>
      <x:c r="I9" s="18" t="n">
        <x:v>21989</x:v>
      </x:c>
      <x:c r="J9" s="18" t="n">
        <x:f>G9*I9</x:f>
        <x:v>43978</x:v>
      </x:c>
      <x:c r="K9" s="3" t="str">
        <x:v>ORDER_BASE
약 3영업일</x:v>
      </x:c>
      <x:c r="L9" s="3" t="str">
        <x:v>하부 외곽 레일 2개. 주문 시 700 mm 재확인
[출하] 기존 9/17 BOM 유지; 국내재고·출하 재확인</x:v>
      </x:c>
      <x:c r="M9" s="3"/>
      <x:c r="N9" s="12" t="str">
        <x:v>https://www.navimro.com/p/K92787708/
procurement/reve_final_order_bom_2026-09-17.csv (기존 계획가 포함)</x:v>
      </x:c>
    </x:row>
    <x:row r="10" ht="95" customHeight="1">
      <x:c r="A10" s="13" t="str">
        <x:v>BASE</x:v>
      </x:c>
      <x:c r="B10" s="13" t="str">
        <x:v>S02</x:v>
      </x:c>
      <x:c r="C10" s="13" t="str">
        <x:v>하부 4040 프로파일 620 mm</x:v>
      </x:c>
      <x:c r="D10" s="13" t="str">
        <x:v>DNF4040/M8, 40×40, 흑색, 직각절단</x:v>
      </x:c>
      <x:c r="E10" s="13" t="str">
        <x:v>나비엠알오</x:v>
      </x:c>
      <x:c r="F10" s="19" t="n">
        <x:v>4</x:v>
      </x:c>
      <x:c r="G10" s="19" t="n">
        <x:v>4</x:v>
      </x:c>
      <x:c r="H10" s="19" t="str">
        <x:v>EA</x:v>
      </x:c>
      <x:c r="I10" s="20" t="n">
        <x:v>19789</x:v>
      </x:c>
      <x:c r="J10" s="20" t="n">
        <x:f>G10*I10</x:f>
        <x:v>79156</x:v>
      </x:c>
      <x:c r="K10" s="13" t="str">
        <x:v>ORDER_BASE
약 3영업일</x:v>
      </x:c>
      <x:c r="L10" s="13" t="str">
        <x:v>하부 횡재 4개. 주문 시 620 mm 재확인
[출하] 기존 9/17 BOM 유지; 국내재고·출하 재확인</x:v>
      </x:c>
      <x:c r="M10" s="3"/>
      <x:c r="N10" s="12" t="str">
        <x:v>https://www.navimro.com/p/K92787705/
procurement/reve_final_order_bom_2026-09-17.csv (기존 계획가 포함)</x:v>
      </x:c>
    </x:row>
    <x:row r="11" ht="95" customHeight="1">
      <x:c r="A11" s="3" t="str">
        <x:v>BASE</x:v>
      </x:c>
      <x:c r="B11" s="3" t="str">
        <x:v>S03</x:v>
      </x:c>
      <x:c r="C11" s="3" t="str">
        <x:v>상부 3030 프로파일 700 mm</x:v>
      </x:c>
      <x:c r="D11" s="3" t="str">
        <x:v>DNF3030-6/M6, 30×30, 직각절단</x:v>
      </x:c>
      <x:c r="E11" s="3" t="str">
        <x:v>나비엠알오</x:v>
      </x:c>
      <x:c r="F11" s="17" t="n">
        <x:v>2</x:v>
      </x:c>
      <x:c r="G11" s="17" t="n">
        <x:v>2</x:v>
      </x:c>
      <x:c r="H11" s="17" t="str">
        <x:v>EA</x:v>
      </x:c>
      <x:c r="I11" s="18" t="n">
        <x:v>7689</x:v>
      </x:c>
      <x:c r="J11" s="18" t="n">
        <x:f>G11*I11</x:f>
        <x:v>15378</x:v>
      </x:c>
      <x:c r="K11" s="3" t="str">
        <x:v>ORDER_BASE
약 3영업일</x:v>
      </x:c>
      <x:c r="L11" s="3" t="str">
        <x:v>상부 외곽 레일 2개. 슬롯6/M6 확인
[출하] 기존 9/17 BOM 유지; 국내재고·출하 재확인</x:v>
      </x:c>
      <x:c r="M11" s="3"/>
      <x:c r="N11" s="12" t="str">
        <x:v>https://www.navimro.com/p/K42296106/
procurement/reve_final_order_bom_2026-09-17.csv (기존 계획가 포함)</x:v>
      </x:c>
    </x:row>
    <x:row r="12" ht="95" customHeight="1">
      <x:c r="A12" s="13" t="str">
        <x:v>BASE</x:v>
      </x:c>
      <x:c r="B12" s="13" t="str">
        <x:v>S04</x:v>
      </x:c>
      <x:c r="C12" s="13" t="str">
        <x:v>상부 3030 프로파일 640 mm</x:v>
      </x:c>
      <x:c r="D12" s="13" t="str">
        <x:v>DNF3030-6/M6, 30×30, 직각절단</x:v>
      </x:c>
      <x:c r="E12" s="13" t="str">
        <x:v>나비엠알오</x:v>
      </x:c>
      <x:c r="F12" s="19" t="n">
        <x:v>4</x:v>
      </x:c>
      <x:c r="G12" s="19" t="n">
        <x:v>4</x:v>
      </x:c>
      <x:c r="H12" s="19" t="str">
        <x:v>EA</x:v>
      </x:c>
      <x:c r="I12" s="20" t="n">
        <x:v>6589</x:v>
      </x:c>
      <x:c r="J12" s="20" t="n">
        <x:f>G12*I12</x:f>
        <x:v>26356</x:v>
      </x:c>
      <x:c r="K12" s="13" t="str">
        <x:v>ORDER_BASE
약 3영업일</x:v>
      </x:c>
      <x:c r="L12" s="13" t="str">
        <x:v>상부 횡재 4개. 주문 시 640 mm 재확인
[출하] 기존 9/17 BOM 유지; 국내재고·출하 재확인</x:v>
      </x:c>
      <x:c r="M12" s="3"/>
      <x:c r="N12" s="12" t="str">
        <x:v>https://www.navimro.com/p/K42296071/
procurement/reve_final_order_bom_2026-09-17.csv (기존 계획가 포함)</x:v>
      </x:c>
    </x:row>
    <x:row r="13" ht="95" customHeight="1">
      <x:c r="A13" s="3" t="str">
        <x:v>BASE</x:v>
      </x:c>
      <x:c r="B13" s="3" t="str">
        <x:v>S05</x:v>
      </x:c>
      <x:c r="C13" s="3" t="str">
        <x:v>40시리즈 직각 브래킷</x:v>
      </x:c>
      <x:c r="D13" s="3" t="str">
        <x:v>4035 다이캐스트</x:v>
      </x:c>
      <x:c r="E13" s="3" t="str">
        <x:v>나비엠알오</x:v>
      </x:c>
      <x:c r="F13" s="17" t="n">
        <x:v>8</x:v>
      </x:c>
      <x:c r="G13" s="17" t="n">
        <x:v>8</x:v>
      </x:c>
      <x:c r="H13" s="17" t="str">
        <x:v>EA</x:v>
      </x:c>
      <x:c r="I13" s="18" t="n">
        <x:v>913</x:v>
      </x:c>
      <x:c r="J13" s="18" t="n">
        <x:f>G13*I13</x:f>
        <x:v>7304</x:v>
      </x:c>
      <x:c r="K13" s="3" t="str">
        <x:v>ORDER_BASE
재고 확인</x:v>
      </x:c>
      <x:c r="L13" s="3" t="str">
        <x:v>하부 내부 코너 8곳
[출하] 기존 9/17 BOM 유지; 국내재고·출하 재확인</x:v>
      </x:c>
      <x:c r="M13" s="3"/>
      <x:c r="N13" s="12" t="str">
        <x:v>https://www.navimro.com/p/K92782553/
procurement/reve_final_order_bom_2026-09-17.csv (기존 계획가 포함)</x:v>
      </x:c>
    </x:row>
    <x:row r="14" ht="95" customHeight="1">
      <x:c r="A14" s="13" t="str">
        <x:v>BASE</x:v>
      </x:c>
      <x:c r="B14" s="13" t="str">
        <x:v>S06</x:v>
      </x:c>
      <x:c r="C14" s="13" t="str">
        <x:v>30시리즈 직각 브래킷</x:v>
      </x:c>
      <x:c r="D14" s="13" t="str">
        <x:v>DCB3025</x:v>
      </x:c>
      <x:c r="E14" s="13" t="str">
        <x:v>나비엠알오</x:v>
      </x:c>
      <x:c r="F14" s="19" t="n">
        <x:v>8</x:v>
      </x:c>
      <x:c r="G14" s="19" t="n">
        <x:v>8</x:v>
      </x:c>
      <x:c r="H14" s="19" t="str">
        <x:v>EA</x:v>
      </x:c>
      <x:c r="I14" s="20" t="n">
        <x:v>660</x:v>
      </x:c>
      <x:c r="J14" s="20" t="n">
        <x:f>G14*I14</x:f>
        <x:v>5280</x:v>
      </x:c>
      <x:c r="K14" s="13" t="str">
        <x:v>ORDER_BASE
재고 확인</x:v>
      </x:c>
      <x:c r="L14" s="13" t="str">
        <x:v>상부 내부 코너 8곳
[출하] 기존 9/17 BOM 유지; 국내재고·출하 재확인</x:v>
      </x:c>
      <x:c r="M14" s="3"/>
      <x:c r="N14" s="12" t="str">
        <x:v>https://www.navimro.com/p/K56842696/
procurement/reve_final_order_bom_2026-09-17.csv (기존 계획가 포함)</x:v>
      </x:c>
    </x:row>
    <x:row r="15" ht="95" customHeight="1">
      <x:c r="A15" s="3" t="str">
        <x:v>BASE</x:v>
      </x:c>
      <x:c r="B15" s="3" t="str">
        <x:v>M01</x:v>
      </x:c>
      <x:c r="C15" s="3" t="str">
        <x:v>엔코더 리니어 액추에이터</x:v>
      </x:c>
      <x:c r="D15" s="3" t="str">
        <x:v>LM4075OE-1075, DC24V, stroke 100 mm, encoder 5V/6ppr, 10 mm/s, 750 N</x:v>
      </x:c>
      <x:c r="E15" s="3" t="str">
        <x:v>모터뱅크</x:v>
      </x:c>
      <x:c r="F15" s="17" t="n">
        <x:v>3</x:v>
      </x:c>
      <x:c r="G15" s="17" t="n">
        <x:v>3</x:v>
      </x:c>
      <x:c r="H15" s="17" t="str">
        <x:v>EA</x:v>
      </x:c>
      <x:c r="I15" s="18" t="n">
        <x:v>126500</x:v>
      </x:c>
      <x:c r="J15" s="18" t="n">
        <x:f>G15*I15</x:f>
        <x:v>379500</x:v>
      </x:c>
      <x:c r="K15" s="3" t="str">
        <x:v>ORDER_EXACT_OPTION
주문제작 7~14일</x:v>
      </x:c>
      <x:c r="L15" s="3" t="str">
        <x:v>세 대 모두 24V·100mm·5V 옵션. 내장 리미트만 사용
[출하] 기존 9/17 BOM 유지; 국내재고·출하 재확인</x:v>
      </x:c>
      <x:c r="M15" s="3"/>
      <x:c r="N15" s="12" t="str">
        <x:v>https://www.motorbank.kr/goods/goods_view.php?goodsNo=1000035578
procurement/reve_final_order_bom_2026-09-17.csv (기존 계획가 포함)</x:v>
      </x:c>
    </x:row>
    <x:row r="16" ht="95" customHeight="1">
      <x:c r="A16" s="13" t="str">
        <x:v>BASE</x:v>
      </x:c>
      <x:c r="B16" s="13" t="str">
        <x:v>M02</x:v>
      </x:c>
      <x:c r="C16" s="13" t="str">
        <x:v>하부 피벗 브래킷</x:v>
      </x:c>
      <x:c r="D16" s="13" t="str">
        <x:v>LMB-10, W26/내폭20/L56/H44/핀H36/홀피치36/t3/Ø6.2</x:v>
      </x:c>
      <x:c r="E16" s="13" t="str">
        <x:v>모터뱅크</x:v>
      </x:c>
      <x:c r="F16" s="19" t="n">
        <x:v>3</x:v>
      </x:c>
      <x:c r="G16" s="19" t="n">
        <x:v>3</x:v>
      </x:c>
      <x:c r="H16" s="19" t="str">
        <x:v>SET</x:v>
      </x:c>
      <x:c r="I16" s="20" t="n">
        <x:v>4400</x:v>
      </x:c>
      <x:c r="J16" s="20" t="n">
        <x:f>G16*I16</x:f>
        <x:v>13200</x:v>
      </x:c>
      <x:c r="K16" s="13" t="str">
        <x:v>ORDER_EXACT_ITEM
결제 직전 확인</x:v>
      </x:c>
      <x:c r="L16" s="13" t="str">
        <x:v>상세사진의 브래킷·핀·R클립 구성 수령 시 대조
[출하] 기존 9/17 BOM 유지; 국내재고·출하 재확인</x:v>
      </x:c>
      <x:c r="M16" s="3"/>
      <x:c r="N16" s="12" t="str">
        <x:v>https://www.motorbank.kr/goods/goods_view.php?goodsNo=1000007655
procurement/reve_final_order_bom_2026-09-17.csv (기존 계획가 포함)</x:v>
      </x:c>
    </x:row>
    <x:row r="17" ht="95" customHeight="1">
      <x:c r="A17" s="3" t="str">
        <x:v>BASE</x:v>
      </x:c>
      <x:c r="B17" s="3" t="str">
        <x:v>M03</x:v>
      </x:c>
      <x:c r="C17" s="3" t="str">
        <x:v>상부 로드엔드</x:v>
      </x:c>
      <x:c r="D17" s="3" t="str">
        <x:v>TRUSCO PHS6, M6 female, bore6, angle13°, total width20, center30, height40, 2개/팩</x:v>
      </x:c>
      <x:c r="E17" s="3" t="str">
        <x:v>한국미스미</x:v>
      </x:c>
      <x:c r="F17" s="17" t="n">
        <x:v>4</x:v>
      </x:c>
      <x:c r="G17" s="17" t="n">
        <x:v>2</x:v>
      </x:c>
      <x:c r="H17" s="17" t="str">
        <x:v>PK_2</x:v>
      </x:c>
      <x:c r="I17" s="18" t="n">
        <x:v>14368</x:v>
      </x:c>
      <x:c r="J17" s="18" t="n">
        <x:f>G17*I17</x:f>
        <x:v>28736</x:v>
      </x:c>
      <x:c r="K17" s="3" t="str">
        <x:v>ORDER_EXACT_ITEM
1일 출하 표시</x:v>
      </x:c>
      <x:c r="L17" s="3" t="str">
        <x:v>3개 사용+1개 예비. 2팩 주문
[출하] 기존 9/17 BOM 유지; 국내재고·출하 재확인</x:v>
      </x:c>
      <x:c r="M17" s="3"/>
      <x:c r="N17" s="12" t="str">
        <x:v>https://kr.misumi-ec.com/vona2/detail/221005504380/?HissuCode=PHS6
procurement/reve_final_order_bom_2026-09-17.csv (기존 계획가 포함)</x:v>
      </x:c>
    </x:row>
    <x:row r="18" ht="95" customHeight="1">
      <x:c r="A18" s="13" t="str">
        <x:v>BASE</x:v>
      </x:c>
      <x:c r="B18" s="13" t="str">
        <x:v>C01</x:v>
      </x:c>
      <x:c r="C18" s="13" t="str">
        <x:v>A1 하부 어댑터</x:v>
      </x:c>
      <x:c r="D18" s="13" t="str">
        <x:v>A6061-T6, 120×70×8 mm, A1 Rev E 홀배치</x:v>
      </x:c>
      <x:c r="E18" s="13" t="str">
        <x:v>한국미스미</x:v>
      </x:c>
      <x:c r="F18" s="19" t="n">
        <x:v>1</x:v>
      </x:c>
      <x:c r="G18" s="19" t="n">
        <x:v>1</x:v>
      </x:c>
      <x:c r="H18" s="19" t="str">
        <x:v>EA</x:v>
      </x:c>
      <x:c r="I18" s="20" t="n">
        <x:v>50000</x:v>
      </x:c>
      <x:c r="J18" s="20" t="n">
        <x:f>G18*I18</x:f>
        <x:v>50000</x:v>
      </x:c>
      <x:c r="K18" s="13" t="str">
        <x:v>QUOTE_BEFORE_ORDER
견적 후 약 5~10영업일</x:v>
      </x:c>
      <x:c r="L18" s="13" t="str">
        <x:v>공급처 인터페이스 STEP로 견적. LMB M8 탭 2개 포함
[출하] 기존 9/17 BOM 유지; 국내재고·출하 재확인</x:v>
      </x:c>
      <x:c r="M18" s="3"/>
      <x:c r="N18" s="12" t="str">
        <x:v>https://meviy.misumi-ec.com/ko-kr/
procurement/reve_final_order_bom_2026-09-17.csv (기존 계획가 포함)</x:v>
      </x:c>
    </x:row>
    <x:row r="19" ht="95" customHeight="1">
      <x:c r="A19" s="3" t="str">
        <x:v>BASE</x:v>
      </x:c>
      <x:c r="B19" s="3" t="str">
        <x:v>C02</x:v>
      </x:c>
      <x:c r="C19" s="3" t="str">
        <x:v>A2 하부 어댑터</x:v>
      </x:c>
      <x:c r="D19" s="3" t="str">
        <x:v>A6061-T6, 120×70×8 mm, A2 Rev E 홀배치</x:v>
      </x:c>
      <x:c r="E19" s="3" t="str">
        <x:v>한국미스미</x:v>
      </x:c>
      <x:c r="F19" s="17" t="n">
        <x:v>1</x:v>
      </x:c>
      <x:c r="G19" s="17" t="n">
        <x:v>1</x:v>
      </x:c>
      <x:c r="H19" s="17" t="str">
        <x:v>EA</x:v>
      </x:c>
      <x:c r="I19" s="18" t="n">
        <x:v>50000</x:v>
      </x:c>
      <x:c r="J19" s="18" t="n">
        <x:f>G19*I19</x:f>
        <x:v>50000</x:v>
      </x:c>
      <x:c r="K19" s="3" t="str">
        <x:v>QUOTE_BEFORE_ORDER
견적 후 약 5~10영업일</x:v>
      </x:c>
      <x:c r="L19" s="3" t="str">
        <x:v>공급처 인터페이스 STEP로 견적. LMB M8 탭 2개 포함
[출하] 기존 9/17 BOM 유지; 국내재고·출하 재확인</x:v>
      </x:c>
      <x:c r="M19" s="3"/>
      <x:c r="N19" s="12" t="str">
        <x:v>https://meviy.misumi-ec.com/ko-kr/
procurement/reve_final_order_bom_2026-09-17.csv (기존 계획가 포함)</x:v>
      </x:c>
    </x:row>
    <x:row r="20" ht="95" customHeight="1">
      <x:c r="A20" s="13" t="str">
        <x:v>BASE</x:v>
      </x:c>
      <x:c r="B20" s="13" t="str">
        <x:v>C03</x:v>
      </x:c>
      <x:c r="C20" s="13" t="str">
        <x:v>A3 하부 어댑터</x:v>
      </x:c>
      <x:c r="D20" s="13" t="str">
        <x:v>A6061-T6, 120×70×8 mm, A3 Rev E 비대칭 홀배치</x:v>
      </x:c>
      <x:c r="E20" s="13" t="str">
        <x:v>한국미스미</x:v>
      </x:c>
      <x:c r="F20" s="19" t="n">
        <x:v>1</x:v>
      </x:c>
      <x:c r="G20" s="19" t="n">
        <x:v>1</x:v>
      </x:c>
      <x:c r="H20" s="19" t="str">
        <x:v>EA</x:v>
      </x:c>
      <x:c r="I20" s="20" t="n">
        <x:v>50000</x:v>
      </x:c>
      <x:c r="J20" s="20" t="n">
        <x:f>G20*I20</x:f>
        <x:v>50000</x:v>
      </x:c>
      <x:c r="K20" s="13" t="str">
        <x:v>QUOTE_BEFORE_ORDER
견적 후 약 5~10영업일</x:v>
      </x:c>
      <x:c r="L20" s="13" t="str">
        <x:v>A3 비대칭 체결 위치 유지. 임의 대칭화 금지
[출하] 기존 9/17 BOM 유지; 국내재고·출하 재확인</x:v>
      </x:c>
      <x:c r="M20" s="3"/>
      <x:c r="N20" s="12" t="str">
        <x:v>https://meviy.misumi-ec.com/ko-kr/
procurement/reve_final_order_bom_2026-09-17.csv (기존 계획가 포함)</x:v>
      </x:c>
    </x:row>
    <x:row r="21" ht="95" customHeight="1">
      <x:c r="A21" s="3" t="str">
        <x:v>BASE</x:v>
      </x:c>
      <x:c r="B21" s="3" t="str">
        <x:v>F01</x:v>
      </x:c>
      <x:c r="C21" s="3" t="str">
        <x:v>M8×16 육각렌치볼트</x:v>
      </x:c>
      <x:c r="D21" s="3" t="str">
        <x:v>SCM435 10.9, 완전나사, 36개/팩</x:v>
      </x:c>
      <x:c r="E21" s="3" t="str">
        <x:v>나비엠알오</x:v>
      </x:c>
      <x:c r="F21" s="17" t="n">
        <x:v>22</x:v>
      </x:c>
      <x:c r="G21" s="17" t="n">
        <x:v>1</x:v>
      </x:c>
      <x:c r="H21" s="17" t="str">
        <x:v>PK_36</x:v>
      </x:c>
      <x:c r="I21" s="18" t="n">
        <x:v>7579</x:v>
      </x:c>
      <x:c r="J21" s="18" t="n">
        <x:f>G21*I21</x:f>
        <x:v>7579</x:v>
      </x:c>
      <x:c r="K21" s="3" t="str">
        <x:v>ORDER_BASE
재고 확인</x:v>
      </x:c>
      <x:c r="L21" s="3" t="str">
        <x:v>4035 브래킷 16+LMB 6
[출하] 기존 9/17 BOM 유지; 국내재고·출하 재확인</x:v>
      </x:c>
      <x:c r="M21" s="3"/>
      <x:c r="N21" s="12" t="str">
        <x:v>https://www.navimro.com/p/K53536280/
procurement/reve_final_order_bom_2026-09-17.csv (기존 계획가 포함)</x:v>
      </x:c>
    </x:row>
    <x:row r="22" ht="95" customHeight="1">
      <x:c r="A22" s="13" t="str">
        <x:v>BASE</x:v>
      </x:c>
      <x:c r="B22" s="13" t="str">
        <x:v>F02</x:v>
      </x:c>
      <x:c r="C22" s="13" t="str">
        <x:v>M6×15 육각렌치볼트</x:v>
      </x:c>
      <x:c r="D22" s="13" t="str">
        <x:v>SCM435 10.9, 완전나사, 57개/팩</x:v>
      </x:c>
      <x:c r="E22" s="13" t="str">
        <x:v>나비엠알오</x:v>
      </x:c>
      <x:c r="F22" s="19" t="n">
        <x:v>16</x:v>
      </x:c>
      <x:c r="G22" s="19" t="n">
        <x:v>1</x:v>
      </x:c>
      <x:c r="H22" s="19" t="str">
        <x:v>PK_57</x:v>
      </x:c>
      <x:c r="I22" s="20" t="n">
        <x:v>6039</x:v>
      </x:c>
      <x:c r="J22" s="20" t="n">
        <x:f>G22*I22</x:f>
        <x:v>6039</x:v>
      </x:c>
      <x:c r="K22" s="13" t="str">
        <x:v>ORDER_BASE
재고 확인</x:v>
      </x:c>
      <x:c r="L22" s="13" t="str">
        <x:v>상부 DCB3025 브래킷 16. 스토퍼용 수량 제외
[출하] 기존 9/17 BOM 유지; 국내재고·출하 재확인</x:v>
      </x:c>
      <x:c r="M22" s="3"/>
      <x:c r="N22" s="12" t="str">
        <x:v>https://www.navimro.com/p/K53536246/
procurement/reve_final_order_bom_2026-09-17.csv (기존 계획가 포함)</x:v>
      </x:c>
    </x:row>
    <x:row r="23" ht="95" customHeight="1">
      <x:c r="A23" s="3" t="str">
        <x:v>BASE</x:v>
      </x:c>
      <x:c r="B23" s="3" t="str">
        <x:v>F03</x:v>
      </x:c>
      <x:c r="C23" s="3" t="str">
        <x:v>M8×20 육각렌치볼트</x:v>
      </x:c>
      <x:c r="D23" s="3" t="str">
        <x:v>SCM435 10.9, 완전나사, 34개/팩</x:v>
      </x:c>
      <x:c r="E23" s="3" t="str">
        <x:v>나비엠알오</x:v>
      </x:c>
      <x:c r="F23" s="17" t="n">
        <x:v>6</x:v>
      </x:c>
      <x:c r="G23" s="17" t="n">
        <x:v>1</x:v>
      </x:c>
      <x:c r="H23" s="17" t="str">
        <x:v>PK_34</x:v>
      </x:c>
      <x:c r="I23" s="18" t="n">
        <x:v>7359</x:v>
      </x:c>
      <x:c r="J23" s="18" t="n">
        <x:f>G23*I23</x:f>
        <x:v>7359</x:v>
      </x:c>
      <x:c r="K23" s="3" t="str">
        <x:v>ORDER_BASE
재고 확인</x:v>
      </x:c>
      <x:c r="L23" s="3" t="str">
        <x:v>하부 어댑터-4040, 축당 2개
[출하] 기존 9/17 BOM 유지; 국내재고·출하 재확인</x:v>
      </x:c>
      <x:c r="M23" s="3"/>
      <x:c r="N23" s="12" t="str">
        <x:v>https://www.navimro.com/p/K53536553/
procurement/reve_final_order_bom_2026-09-17.csv (기존 계획가 포함)</x:v>
      </x:c>
    </x:row>
    <x:row r="24" ht="95" customHeight="1">
      <x:c r="A24" s="13" t="str">
        <x:v>BASE</x:v>
      </x:c>
      <x:c r="B24" s="13" t="str">
        <x:v>F04</x:v>
      </x:c>
      <x:c r="C24" s="13" t="str">
        <x:v>M8 평와셔</x:v>
      </x:c>
      <x:c r="D24" s="13" t="str">
        <x:v>SUS304, 8.5×17×1, 100개/팩</x:v>
      </x:c>
      <x:c r="E24" s="13" t="str">
        <x:v>나비엠알오</x:v>
      </x:c>
      <x:c r="F24" s="19" t="n">
        <x:v>6</x:v>
      </x:c>
      <x:c r="G24" s="19" t="n">
        <x:v>1</x:v>
      </x:c>
      <x:c r="H24" s="19" t="str">
        <x:v>PK_100</x:v>
      </x:c>
      <x:c r="I24" s="20" t="n">
        <x:v>5049</x:v>
      </x:c>
      <x:c r="J24" s="20" t="n">
        <x:f>G24*I24</x:f>
        <x:v>5049</x:v>
      </x:c>
      <x:c r="K24" s="13" t="str">
        <x:v>ORDER_BASE
재고 확인</x:v>
      </x:c>
      <x:c r="L24" s="13" t="str">
        <x:v>LMB 체결부
[출하] 기존 9/17 BOM 유지; 국내재고·출하 재확인</x:v>
      </x:c>
      <x:c r="M24" s="3"/>
      <x:c r="N24" s="12" t="str">
        <x:v>https://www.navimro.com/p/K06130485/
procurement/reve_final_order_bom_2026-09-17.csv (기존 계획가 포함)</x:v>
      </x:c>
    </x:row>
    <x:row r="25" ht="95" customHeight="1">
      <x:c r="A25" s="3" t="str">
        <x:v>BASE</x:v>
      </x:c>
      <x:c r="B25" s="3" t="str">
        <x:v>F05</x:v>
      </x:c>
      <x:c r="C25" s="3" t="str">
        <x:v>M8 스프링와셔</x:v>
      </x:c>
      <x:c r="D25" s="3" t="str">
        <x:v>SUS304, 8.4×14×2</x:v>
      </x:c>
      <x:c r="E25" s="3" t="str">
        <x:v>나비엠알오</x:v>
      </x:c>
      <x:c r="F25" s="17" t="n">
        <x:v>6</x:v>
      </x:c>
      <x:c r="G25" s="17" t="n">
        <x:v>6</x:v>
      </x:c>
      <x:c r="H25" s="17" t="str">
        <x:v>EA</x:v>
      </x:c>
      <x:c r="I25" s="18" t="n">
        <x:v>440</x:v>
      </x:c>
      <x:c r="J25" s="18" t="n">
        <x:f>G25*I25</x:f>
        <x:v>2640</x:v>
      </x:c>
      <x:c r="K25" s="3" t="str">
        <x:v>ORDER_BASE
재고 확인</x:v>
      </x:c>
      <x:c r="L25" s="3" t="str">
        <x:v>LMB 축당 2개
[출하] 기존 9/17 BOM 유지; 국내재고·출하 재확인</x:v>
      </x:c>
      <x:c r="M25" s="3"/>
      <x:c r="N25" s="12" t="str">
        <x:v>https://www.navimro.com/p/K15785747/
procurement/reve_final_order_bom_2026-09-17.csv (기존 계획가 포함)</x:v>
      </x:c>
    </x:row>
    <x:row r="26" ht="95" customHeight="1">
      <x:c r="A26" s="13" t="str">
        <x:v>BASE</x:v>
      </x:c>
      <x:c r="B26" s="13" t="str">
        <x:v>F06</x:v>
      </x:c>
      <x:c r="C26" s="13" t="str">
        <x:v>40시리즈 M8 스프링너트</x:v>
      </x:c>
      <x:c r="D26" s="13" t="str">
        <x:v>SP408, 100개/팩</x:v>
      </x:c>
      <x:c r="E26" s="13" t="str">
        <x:v>나비엠알오</x:v>
      </x:c>
      <x:c r="F26" s="19" t="n">
        <x:v>23</x:v>
      </x:c>
      <x:c r="G26" s="19" t="n">
        <x:v>1</x:v>
      </x:c>
      <x:c r="H26" s="19" t="str">
        <x:v>PK_100</x:v>
      </x:c>
      <x:c r="I26" s="20" t="n">
        <x:v>25289</x:v>
      </x:c>
      <x:c r="J26" s="20" t="n">
        <x:f>G26*I26</x:f>
        <x:v>25289</x:v>
      </x:c>
      <x:c r="K26" s="13" t="str">
        <x:v>ORDER_BASE
재고 확인</x:v>
      </x:c>
      <x:c r="L26" s="13" t="str">
        <x:v>4035 16+어댑터 6. 스토퍼 수량 제외; DG60103 측정용 홀더 1개용 M8 너트 추가 사용(100개 팩 내).
[출하] 기존 9/17 BOM 유지; 국내재고·출하 재확인</x:v>
      </x:c>
      <x:c r="M26" s="3"/>
      <x:c r="N26" s="12" t="str">
        <x:v>https://www.navimro.com/p/K14671419/
procurement/reve_final_order_bom_2026-09-17.csv (기존 계획가 포함)</x:v>
      </x:c>
    </x:row>
    <x:row r="27" ht="95" customHeight="1">
      <x:c r="A27" s="3" t="str">
        <x:v>BASE</x:v>
      </x:c>
      <x:c r="B27" s="3" t="str">
        <x:v>F07</x:v>
      </x:c>
      <x:c r="C27" s="3" t="str">
        <x:v>30시리즈 M6 스프링너트</x:v>
      </x:c>
      <x:c r="D27" s="3" t="str">
        <x:v>SP306, 100개/팩</x:v>
      </x:c>
      <x:c r="E27" s="3" t="str">
        <x:v>나비엠알오</x:v>
      </x:c>
      <x:c r="F27" s="17" t="n">
        <x:v>20</x:v>
      </x:c>
      <x:c r="G27" s="17" t="n">
        <x:v>1</x:v>
      </x:c>
      <x:c r="H27" s="17" t="str">
        <x:v>PK_100</x:v>
      </x:c>
      <x:c r="I27" s="18" t="n">
        <x:v>25289</x:v>
      </x:c>
      <x:c r="J27" s="18" t="n">
        <x:f>G27*I27</x:f>
        <x:v>25289</x:v>
      </x:c>
      <x:c r="K27" s="3" t="str">
        <x:v>ORDER_BASE
재고 확인</x:v>
      </x:c>
      <x:c r="L27" s="3" t="str">
        <x:v>DCB3025 16+PHS6 스터드 3+예비 1
[출하] 기존 9/17 BOM 유지; 국내재고·출하 재확인</x:v>
      </x:c>
      <x:c r="M27" s="3"/>
      <x:c r="N27" s="12" t="str">
        <x:v>https://www.navimro.com/p/K14671215/
procurement/reve_final_order_bom_2026-09-17.csv (기존 계획가 포함)</x:v>
      </x:c>
    </x:row>
    <x:row r="28" ht="95" customHeight="1">
      <x:c r="A28" s="13" t="str">
        <x:v>BASE</x:v>
      </x:c>
      <x:c r="B28" s="13" t="str">
        <x:v>F08A</x:v>
      </x:c>
      <x:c r="C28" s="13" t="str">
        <x:v>M6×50 상부 피벗 볼트</x:v>
      </x:c>
      <x:c r="D28" s="13" t="str">
        <x:v>부분나사, 10개/팩</x:v>
      </x:c>
      <x:c r="E28" s="13" t="str">
        <x:v>나비엠알오</x:v>
      </x:c>
      <x:c r="F28" s="19" t="n">
        <x:v>3</x:v>
      </x:c>
      <x:c r="G28" s="19" t="n">
        <x:v>1</x:v>
      </x:c>
      <x:c r="H28" s="19" t="str">
        <x:v>PK_10</x:v>
      </x:c>
      <x:c r="I28" s="20" t="n">
        <x:v>3410</x:v>
      </x:c>
      <x:c r="J28" s="20" t="n">
        <x:f>G28*I28</x:f>
        <x:v>3410</x:v>
      </x:c>
      <x:c r="K28" s="13" t="str">
        <x:v>ORDER_BOTH_LENGTHS
재고 확인</x:v>
      </x:c>
      <x:c r="L28" s="13" t="str">
        <x:v>M6×55와 함께 주문 후 실측 적합 길이 선택
[출하] 기존 9/17 BOM 유지; 국내재고·출하 재확인</x:v>
      </x:c>
      <x:c r="M28" s="3"/>
      <x:c r="N28" s="12" t="str">
        <x:v>https://www.navimro.com/p/K53672105/
procurement/reve_final_order_bom_2026-09-17.csv (기존 계획가 포함)</x:v>
      </x:c>
    </x:row>
    <x:row r="29" ht="95" customHeight="1">
      <x:c r="A29" s="3" t="str">
        <x:v>BASE</x:v>
      </x:c>
      <x:c r="B29" s="3" t="str">
        <x:v>F08B</x:v>
      </x:c>
      <x:c r="C29" s="3" t="str">
        <x:v>M6×55 상부 피벗 볼트</x:v>
      </x:c>
      <x:c r="D29" s="3" t="str">
        <x:v>SUS304, 완전나사, 10개/팩</x:v>
      </x:c>
      <x:c r="E29" s="3" t="str">
        <x:v>나비엠알오</x:v>
      </x:c>
      <x:c r="F29" s="17" t="n">
        <x:v>3</x:v>
      </x:c>
      <x:c r="G29" s="17" t="n">
        <x:v>1</x:v>
      </x:c>
      <x:c r="H29" s="17" t="str">
        <x:v>PK_10</x:v>
      </x:c>
      <x:c r="I29" s="18" t="n">
        <x:v>3289</x:v>
      </x:c>
      <x:c r="J29" s="18" t="n">
        <x:f>G29*I29</x:f>
        <x:v>3289</x:v>
      </x:c>
      <x:c r="K29" s="3" t="str">
        <x:v>ORDER_BOTH_LENGTHS
약 2영업일 표시</x:v>
      </x:c>
      <x:c r="L29" s="3" t="str">
        <x:v>M6×50와 함께 주문. 긴 경우 억지 체결 금지
[출하] 기존 9/17 BOM 유지; 국내재고·출하 재확인</x:v>
      </x:c>
      <x:c r="M29" s="3"/>
      <x:c r="N29" s="12" t="str">
        <x:v>https://www.navimro.com/g/171431/
procurement/reve_final_order_bom_2026-09-17.csv (기존 계획가 포함)</x:v>
      </x:c>
    </x:row>
    <x:row r="30" ht="95" customHeight="1">
      <x:c r="A30" s="13" t="str">
        <x:v>BASE</x:v>
      </x:c>
      <x:c r="B30" s="13" t="str">
        <x:v>F09</x:v>
      </x:c>
      <x:c r="C30" s="13" t="str">
        <x:v>0.5 mm 심링</x:v>
      </x:c>
      <x:c r="D30" s="13" t="str">
        <x:v>CIMR6-12-0.5, ID6/OD12/t0.5</x:v>
      </x:c>
      <x:c r="E30" s="13" t="str">
        <x:v>한국미스미</x:v>
      </x:c>
      <x:c r="F30" s="19" t="n">
        <x:v>9</x:v>
      </x:c>
      <x:c r="G30" s="19" t="n">
        <x:v>12</x:v>
      </x:c>
      <x:c r="H30" s="19" t="str">
        <x:v>EA</x:v>
      </x:c>
      <x:c r="I30" s="20" t="n">
        <x:v>1000</x:v>
      </x:c>
      <x:c r="J30" s="20" t="n">
        <x:f>G30*I30</x:f>
        <x:v>12000</x:v>
      </x:c>
      <x:c r="K30" s="13" t="str">
        <x:v>CHECKOUT_PRICE
3일 수준 예상</x:v>
      </x:c>
      <x:c r="L30" s="13" t="str">
        <x:v>축당 3장=1.5 mm, 총9장 사용+3장 예비
[출하] 기존 9/17 BOM 유지; 국내재고·출하 재확인</x:v>
      </x:c>
      <x:c r="M30" s="3"/>
      <x:c r="N30" s="12" t="str">
        <x:v>https://kr.misumi-ec.com/vona2/detail/110302677870/?HissuCode=CIMR6-12-0.5
procurement/reve_final_order_bom_2026-09-17.csv (기존 계획가 포함)</x:v>
      </x:c>
    </x:row>
    <x:row r="31" ht="95" customHeight="1">
      <x:c r="A31" s="3" t="str">
        <x:v>BASE</x:v>
      </x:c>
      <x:c r="B31" s="3" t="str">
        <x:v>F10</x:v>
      </x:c>
      <x:c r="C31" s="3" t="str">
        <x:v>M6 나일론 인서트 너트</x:v>
      </x:c>
      <x:c r="D31" s="3" t="str">
        <x:v>SUS304, 100개/팩</x:v>
      </x:c>
      <x:c r="E31" s="3" t="str">
        <x:v>나비엠알오</x:v>
      </x:c>
      <x:c r="F31" s="17" t="n">
        <x:v>3</x:v>
      </x:c>
      <x:c r="G31" s="17" t="n">
        <x:v>1</x:v>
      </x:c>
      <x:c r="H31" s="17" t="str">
        <x:v>PK_100</x:v>
      </x:c>
      <x:c r="I31" s="18" t="n">
        <x:v>8789</x:v>
      </x:c>
      <x:c r="J31" s="18" t="n">
        <x:f>G31*I31</x:f>
        <x:v>8789</x:v>
      </x:c>
      <x:c r="K31" s="3" t="str">
        <x:v>ORDER_BASE
재고 확인</x:v>
      </x:c>
      <x:c r="L31" s="3" t="str">
        <x:v>상부 피벗 볼트 풀림방지
[출하] 기존 9/17 BOM 유지; 국내재고·출하 재확인</x:v>
      </x:c>
      <x:c r="M31" s="3"/>
      <x:c r="N31" s="12" t="str">
        <x:v>https://www.navimro.com/p/K14536539/
procurement/reve_final_order_bom_2026-09-17.csv (기존 계획가 포함)</x:v>
      </x:c>
    </x:row>
    <x:row r="32" ht="95" customHeight="1">
      <x:c r="A32" s="13" t="str">
        <x:v>BASE</x:v>
      </x:c>
      <x:c r="B32" s="13" t="str">
        <x:v>F11</x:v>
      </x:c>
      <x:c r="C32" s="13" t="str">
        <x:v>M6×20 무두렌치 스터드</x:v>
      </x:c>
      <x:c r="D32" s="13" t="str">
        <x:v>6×20, 10개/팩</x:v>
      </x:c>
      <x:c r="E32" s="13" t="str">
        <x:v>나비엠알오</x:v>
      </x:c>
      <x:c r="F32" s="19" t="n">
        <x:v>4</x:v>
      </x:c>
      <x:c r="G32" s="19" t="n">
        <x:v>1</x:v>
      </x:c>
      <x:c r="H32" s="19" t="str">
        <x:v>PK_10</x:v>
      </x:c>
      <x:c r="I32" s="20" t="n">
        <x:v>3509</x:v>
      </x:c>
      <x:c r="J32" s="20" t="n">
        <x:f>G32*I32</x:f>
        <x:v>3509</x:v>
      </x:c>
      <x:c r="K32" s="13" t="str">
        <x:v>ORDER_STUD_SOLUTION
약 7~9영업일</x:v>
      </x:c>
      <x:c r="L32" s="13" t="str">
        <x:v>PHS6-SP306 연결 3세트+예비1. 1000개입 TB306은 제외
[출하] 기존 9/17 BOM 유지; 국내재고·출하 재확인</x:v>
      </x:c>
      <x:c r="M32" s="3"/>
      <x:c r="N32" s="12" t="str">
        <x:v>https://www.navimro.com/g/1859033/
procurement/reve_final_order_bom_2026-09-17.csv (기존 계획가 포함)</x:v>
      </x:c>
    </x:row>
    <x:row r="33" ht="95" customHeight="1">
      <x:c r="A33" s="3" t="str">
        <x:v>BASE</x:v>
      </x:c>
      <x:c r="B33" s="3" t="str">
        <x:v>F12</x:v>
      </x:c>
      <x:c r="C33" s="3" t="str">
        <x:v>M6 잼너트</x:v>
      </x:c>
      <x:c r="D33" s="3" t="str">
        <x:v>SCM435 니켈, 100개/팩</x:v>
      </x:c>
      <x:c r="E33" s="3" t="str">
        <x:v>나비엠알오</x:v>
      </x:c>
      <x:c r="F33" s="17" t="n">
        <x:v>8</x:v>
      </x:c>
      <x:c r="G33" s="17" t="n">
        <x:v>1</x:v>
      </x:c>
      <x:c r="H33" s="17" t="str">
        <x:v>PK_100</x:v>
      </x:c>
      <x:c r="I33" s="18" t="n">
        <x:v>4169</x:v>
      </x:c>
      <x:c r="J33" s="18" t="n">
        <x:f>G33*I33</x:f>
        <x:v>4169</x:v>
      </x:c>
      <x:c r="K33" s="3" t="str">
        <x:v>ORDER_BASE
재고 확인</x:v>
      </x:c>
      <x:c r="L33" s="3" t="str">
        <x:v>스터드 4세트×양단 잠금 2개
[출하] 기존 9/17 BOM 유지; 국내재고·출하 재확인</x:v>
      </x:c>
      <x:c r="M33" s="3"/>
      <x:c r="N33" s="12" t="str">
        <x:v>https://www.navimro.com/p/K14532615/
procurement/reve_final_order_bom_2026-09-17.csv (기존 계획가 포함)</x:v>
      </x:c>
    </x:row>
    <x:row r="34" ht="95" customHeight="1">
      <x:c r="A34" s="13" t="str">
        <x:v>BASE</x:v>
      </x:c>
      <x:c r="B34" s="13" t="str">
        <x:v>F17</x:v>
      </x:c>
      <x:c r="C34" s="13" t="str">
        <x:v>중강도 나사고정제</x:v>
      </x:c>
      <x:c r="D34" s="13" t="str">
        <x:v>LOCTITE 243, 10 ml</x:v>
      </x:c>
      <x:c r="E34" s="13" t="str">
        <x:v>나비엠알오</x:v>
      </x:c>
      <x:c r="F34" s="19" t="n">
        <x:v>1</x:v>
      </x:c>
      <x:c r="G34" s="19" t="n">
        <x:v>1</x:v>
      </x:c>
      <x:c r="H34" s="19" t="str">
        <x:v>EA</x:v>
      </x:c>
      <x:c r="I34" s="20" t="n">
        <x:v>9889</x:v>
      </x:c>
      <x:c r="J34" s="20" t="n">
        <x:f>G34*I34</x:f>
        <x:v>9889</x:v>
      </x:c>
      <x:c r="K34" s="13" t="str">
        <x:v>ORDER_BASE
재고 확인</x:v>
      </x:c>
      <x:c r="L34" s="13" t="str">
        <x:v>비조정 체결부에만 소량 사용
[출하] 기존 9/17 BOM 유지; 국내재고·출하 재확인</x:v>
      </x:c>
      <x:c r="M34" s="3"/>
      <x:c r="N34" s="12" t="str">
        <x:v>https://www.navimro.com/p/K64647607/
procurement/reve_final_order_bom_2026-09-17.csv (기존 계획가 포함)</x:v>
      </x:c>
    </x:row>
    <x:row r="35" ht="95" customHeight="1">
      <x:c r="A35" s="3" t="str">
        <x:v>BASE</x:v>
      </x:c>
      <x:c r="B35" s="3" t="str">
        <x:v>F18</x:v>
      </x:c>
      <x:c r="C35" s="3" t="str">
        <x:v>M4×25 더블샘스볼트</x:v>
      </x:c>
      <x:c r="D35" s="3" t="str">
        <x:v>니켈도금, 평와셔+스프링와셔, 100개/팩</x:v>
      </x:c>
      <x:c r="E35" s="3" t="str">
        <x:v>나비엠알오</x:v>
      </x:c>
      <x:c r="F35" s="17" t="n">
        <x:v>20</x:v>
      </x:c>
      <x:c r="G35" s="17" t="n">
        <x:v>1</x:v>
      </x:c>
      <x:c r="H35" s="17" t="str">
        <x:v>PK_100</x:v>
      </x:c>
      <x:c r="I35" s="18" t="n">
        <x:v>18139</x:v>
      </x:c>
      <x:c r="J35" s="18" t="n">
        <x:f>G35*I35</x:f>
        <x:v>18139</x:v>
      </x:c>
      <x:c r="K35" s="3" t="str">
        <x:v>ORDER_BASE
재고 확인</x:v>
      </x:c>
      <x:c r="L35" s="3" t="str">
        <x:v>PSU/DIN레일/보드 장착. 길면 짧은 동등품 사용
[출하] 기존 9/17 BOM 유지; 국내재고·출하 재확인</x:v>
      </x:c>
      <x:c r="M35" s="3"/>
      <x:c r="N35" s="12" t="str">
        <x:v>https://www.navimro.com/p/K14364804/
procurement/reve_final_order_bom_2026-09-17.csv (기존 계획가 포함)</x:v>
      </x:c>
    </x:row>
    <x:row r="36" ht="95" customHeight="1">
      <x:c r="A36" s="13" t="str">
        <x:v>BASE</x:v>
      </x:c>
      <x:c r="B36" s="13" t="str">
        <x:v>F19</x:v>
      </x:c>
      <x:c r="C36" s="13" t="str">
        <x:v>M4 육각너트</x:v>
      </x:c>
      <x:c r="D36" s="13" t="str">
        <x:v>SUS304, 50개/팩</x:v>
      </x:c>
      <x:c r="E36" s="13" t="str">
        <x:v>나비엠알오</x:v>
      </x:c>
      <x:c r="F36" s="19" t="n">
        <x:v>20</x:v>
      </x:c>
      <x:c r="G36" s="19" t="n">
        <x:v>1</x:v>
      </x:c>
      <x:c r="H36" s="19" t="str">
        <x:v>PK_50</x:v>
      </x:c>
      <x:c r="I36" s="20" t="n">
        <x:v>1529</x:v>
      </x:c>
      <x:c r="J36" s="20" t="n">
        <x:f>G36*I36</x:f>
        <x:v>1529</x:v>
      </x:c>
      <x:c r="K36" s="13" t="str">
        <x:v>ORDER_BASE
재고 확인</x:v>
      </x:c>
      <x:c r="L36" s="13" t="str">
        <x:v>F18과 조합
[출하] 기존 9/17 BOM 유지; 국내재고·출하 재확인</x:v>
      </x:c>
      <x:c r="M36" s="3"/>
      <x:c r="N36" s="12" t="str">
        <x:v>https://www.navimro.com/p/K06130054/
procurement/reve_final_order_bom_2026-09-17.csv (기존 계획가 포함)</x:v>
      </x:c>
    </x:row>
    <x:row r="37" ht="95" customHeight="1">
      <x:c r="A37" s="3" t="str">
        <x:v>BASE</x:v>
      </x:c>
      <x:c r="B37" s="3" t="str">
        <x:v>E04</x:v>
      </x:c>
      <x:c r="C37" s="3" t="str">
        <x:v>24 V AC-DC 전원공급기</x:v>
      </x:c>
      <x:c r="D37" s="3" t="str">
        <x:v>Mean Well LRS-350-24, 24 VDC 14.6 A 350 W</x:v>
      </x:c>
      <x:c r="E37" s="3" t="str">
        <x:v>디바이스마트</x:v>
      </x:c>
      <x:c r="F37" s="17" t="n">
        <x:v>1</x:v>
      </x:c>
      <x:c r="G37" s="17" t="n">
        <x:v>1</x:v>
      </x:c>
      <x:c r="H37" s="17" t="str">
        <x:v>EA</x:v>
      </x:c>
      <x:c r="I37" s="18" t="n">
        <x:v>45650</x:v>
      </x:c>
      <x:c r="J37" s="18" t="n">
        <x:f>G37*I37</x:f>
        <x:v>45650</x:v>
      </x:c>
      <x:c r="K37" s="3" t="str">
        <x:v>ORDER_BASE
재고 확인</x:v>
      </x:c>
      <x:c r="L37" s="3" t="str">
        <x:v>접지 필수. 3축 동시 스톨 운전 금지
[출하] 기존 9/17 BOM 유지; 국내재고·출하 재확인</x:v>
      </x:c>
      <x:c r="M37" s="3"/>
      <x:c r="N37" s="12" t="str">
        <x:v>https://www.devicemart.co.kr/goods/view?no=13231965
procurement/reve_final_order_bom_2026-09-17.csv (기존 계획가 포함)</x:v>
      </x:c>
    </x:row>
    <x:row r="38" ht="95" customHeight="1">
      <x:c r="A38" s="13" t="str">
        <x:v>BASE</x:v>
      </x:c>
      <x:c r="B38" s="13" t="str">
        <x:v>E06</x:v>
      </x:c>
      <x:c r="C38" s="13" t="str">
        <x:v>ABS 전장함</x:v>
      </x:c>
      <x:c r="D38" s="13" t="str">
        <x:v>SL902, 400×500×155 mm</x:v>
      </x:c>
      <x:c r="E38" s="13" t="str">
        <x:v>나비엠알오</x:v>
      </x:c>
      <x:c r="F38" s="19" t="n">
        <x:v>1</x:v>
      </x:c>
      <x:c r="G38" s="19" t="n">
        <x:v>1</x:v>
      </x:c>
      <x:c r="H38" s="19" t="str">
        <x:v>EA</x:v>
      </x:c>
      <x:c r="I38" s="20" t="n">
        <x:v>27489</x:v>
      </x:c>
      <x:c r="J38" s="20" t="n">
        <x:f>G38*I38</x:f>
        <x:v>27489</x:v>
      </x:c>
      <x:c r="K38" s="13" t="str">
        <x:v>ORDER_BASE
재고 확인</x:v>
      </x:c>
      <x:c r="L38" s="13" t="str">
        <x:v>실부품 배치 후 글랜드·버튼 홀 가공
[출하] 기존 9/17 BOM 유지; 국내재고·출하 재확인</x:v>
      </x:c>
      <x:c r="M38" s="3"/>
      <x:c r="N38" s="12" t="str">
        <x:v>https://www.navimro.com/p/K07636024/
procurement/reve_final_order_bom_2026-09-17.csv (기존 계획가 포함)</x:v>
      </x:c>
    </x:row>
    <x:row r="39" ht="95" customHeight="1">
      <x:c r="A39" s="3" t="str">
        <x:v>BASE</x:v>
      </x:c>
      <x:c r="B39" s="3" t="str">
        <x:v>E07</x:v>
      </x:c>
      <x:c r="C39" s="3" t="str">
        <x:v>접지 전원코드</x:v>
      </x:c>
      <x:c r="D39" s="3" t="str">
        <x:v>DYP-G15B, 2 m, 1.5sq×3C</x:v>
      </x:c>
      <x:c r="E39" s="3" t="str">
        <x:v>나비엠알오</x:v>
      </x:c>
      <x:c r="F39" s="17" t="n">
        <x:v>1</x:v>
      </x:c>
      <x:c r="G39" s="17" t="n">
        <x:v>1</x:v>
      </x:c>
      <x:c r="H39" s="17" t="str">
        <x:v>EA</x:v>
      </x:c>
      <x:c r="I39" s="18" t="n">
        <x:v>4389</x:v>
      </x:c>
      <x:c r="J39" s="18" t="n">
        <x:f>G39*I39</x:f>
        <x:v>4389</x:v>
      </x:c>
      <x:c r="K39" s="3" t="str">
        <x:v>ORDER_BASE
재고 확인</x:v>
      </x:c>
      <x:c r="L39" s="3" t="str">
        <x:v>PE를 PSU 섀시에 직접 연결
[출하] 기존 9/17 BOM 유지; 국내재고·출하 재확인</x:v>
      </x:c>
      <x:c r="M39" s="3"/>
      <x:c r="N39" s="12" t="str">
        <x:v>https://www.navimro.com/p/K08345728/
procurement/reve_final_order_bom_2026-09-17.csv (기존 계획가 포함)</x:v>
      </x:c>
    </x:row>
    <x:row r="40" ht="95" customHeight="1">
      <x:c r="A40" s="13" t="str">
        <x:v>BASE</x:v>
      </x:c>
      <x:c r="B40" s="13" t="str">
        <x:v>E08</x:v>
      </x:c>
      <x:c r="C40" s="13" t="str">
        <x:v>2극 배선용 차단기</x:v>
      </x:c>
      <x:c r="D40" s="13" t="str">
        <x:v>ABE32b, 2P2E, 10 A</x:v>
      </x:c>
      <x:c r="E40" s="13" t="str">
        <x:v>나비엠알오</x:v>
      </x:c>
      <x:c r="F40" s="19" t="n">
        <x:v>1</x:v>
      </x:c>
      <x:c r="G40" s="19" t="n">
        <x:v>1</x:v>
      </x:c>
      <x:c r="H40" s="19" t="str">
        <x:v>EA</x:v>
      </x:c>
      <x:c r="I40" s="20" t="n">
        <x:v>23089</x:v>
      </x:c>
      <x:c r="J40" s="20" t="n">
        <x:f>G40*I40</x:f>
        <x:v>23089</x:v>
      </x:c>
      <x:c r="K40" s="13" t="str">
        <x:v>ORDER_BASE
재고 확인</x:v>
      </x:c>
      <x:c r="L40" s="13" t="str">
        <x:v>접근 가능한 주전원 차단. 안전등급 주장 안 함
[출하] 기존 9/17 BOM 유지; 국내재고·출하 재확인</x:v>
      </x:c>
      <x:c r="M40" s="3"/>
      <x:c r="N40" s="12" t="str">
        <x:v>https://www.navimro.com/p/K04115335/
procurement/reve_final_order_bom_2026-09-17.csv (기존 계획가 포함)</x:v>
      </x:c>
    </x:row>
    <x:row r="41" ht="95" customHeight="1">
      <x:c r="A41" s="3" t="str">
        <x:v>BASE</x:v>
      </x:c>
      <x:c r="B41" s="3" t="str">
        <x:v>E09A</x:v>
      </x:c>
      <x:c r="C41" s="3" t="str">
        <x:v>ATO 퓨즈홀더</x:v>
      </x:c>
      <x:c r="D41" s="3" t="str">
        <x:v>SZH-FU005, 방수 인라인</x:v>
      </x:c>
      <x:c r="E41" s="3" t="str">
        <x:v>디바이스마트</x:v>
      </x:c>
      <x:c r="F41" s="17" t="n">
        <x:v>4</x:v>
      </x:c>
      <x:c r="G41" s="17" t="n">
        <x:v>4</x:v>
      </x:c>
      <x:c r="H41" s="17" t="str">
        <x:v>EA</x:v>
      </x:c>
      <x:c r="I41" s="18" t="n">
        <x:v>1870</x:v>
      </x:c>
      <x:c r="J41" s="18" t="n">
        <x:f>G41*I41</x:f>
        <x:v>7480</x:v>
      </x:c>
      <x:c r="K41" s="3" t="str">
        <x:v>ORDER_BASE
재고 확인</x:v>
      </x:c>
      <x:c r="L41" s="3" t="str">
        <x:v>24V 분기 4개
[출하] 기존 9/17 BOM 유지; 국내재고·출하 재확인</x:v>
      </x:c>
      <x:c r="M41" s="3"/>
      <x:c r="N41" s="12" t="str">
        <x:v>https://www.devicemart.co.kr/goods/view?no=12170196
procurement/reve_final_order_bom_2026-09-17.csv (기존 계획가 포함)</x:v>
      </x:c>
    </x:row>
    <x:row r="42" ht="95" customHeight="1">
      <x:c r="A42" s="13" t="str">
        <x:v>BASE</x:v>
      </x:c>
      <x:c r="B42" s="13" t="str">
        <x:v>E09B</x:v>
      </x:c>
      <x:c r="C42" s="13" t="str">
        <x:v>ATO 블레이드 퓨즈 5 A</x:v>
      </x:c>
      <x:c r="D42" s="13" t="str">
        <x:v>32 VDC, 최소주문 10개</x:v>
      </x:c>
      <x:c r="E42" s="13" t="str">
        <x:v>디바이스마트</x:v>
      </x:c>
      <x:c r="F42" s="19" t="n">
        <x:v>3</x:v>
      </x:c>
      <x:c r="G42" s="19" t="n">
        <x:v>10</x:v>
      </x:c>
      <x:c r="H42" s="19" t="str">
        <x:v>EA</x:v>
      </x:c>
      <x:c r="I42" s="20" t="n">
        <x:v>110</x:v>
      </x:c>
      <x:c r="J42" s="20" t="n">
        <x:f>G42*I42</x:f>
        <x:v>1100</x:v>
      </x:c>
      <x:c r="K42" s="13" t="str">
        <x:v>ORDER_BASE
재고 확인</x:v>
      </x:c>
      <x:c r="L42" s="13" t="str">
        <x:v>실측 전 임의 증용량 금지
[출하] 기존 9/17 BOM 유지; 국내재고·출하 재확인</x:v>
      </x:c>
      <x:c r="M42" s="3"/>
      <x:c r="N42" s="12" t="str">
        <x:v>https://www.devicemart.co.kr/goods/view?no=11509
procurement/reve_final_order_bom_2026-09-17.csv (기존 계획가 포함)</x:v>
      </x:c>
    </x:row>
    <x:row r="43" ht="95" customHeight="1">
      <x:c r="A43" s="3" t="str">
        <x:v>BASE</x:v>
      </x:c>
      <x:c r="B43" s="3" t="str">
        <x:v>E09C</x:v>
      </x:c>
      <x:c r="C43" s="3" t="str">
        <x:v>ATO 블레이드 퓨즈 1 A</x:v>
      </x:c>
      <x:c r="D43" s="3" t="str">
        <x:v>32 VDC</x:v>
      </x:c>
      <x:c r="E43" s="3" t="str">
        <x:v>디바이스마트</x:v>
      </x:c>
      <x:c r="F43" s="17" t="n">
        <x:v>1</x:v>
      </x:c>
      <x:c r="G43" s="17" t="n">
        <x:v>3</x:v>
      </x:c>
      <x:c r="H43" s="17" t="str">
        <x:v>EA</x:v>
      </x:c>
      <x:c r="I43" s="18" t="n">
        <x:v>726</x:v>
      </x:c>
      <x:c r="J43" s="18" t="n">
        <x:f>G43*I43</x:f>
        <x:v>2178</x:v>
      </x:c>
      <x:c r="K43" s="15" t="str">
        <x:v>HOLD_RATING_REVIEW
재고 확인</x:v>
      </x:c>
      <x:c r="L43" s="3" t="str">
        <x:v>기존 1 A는 예산 추적용만 유지. Portenta+HMI+센서+KC522의 최악 전류·돌입과 전선/홀더 정격 검토 후 교체·분기 결정. 아직 구매 금지.
[출하] 기존 9/17 BOM 유지; 국내재고·출하 재확인</x:v>
      </x:c>
      <x:c r="M43" s="3"/>
      <x:c r="N43" s="12" t="str">
        <x:v>https://www.devicemart.co.kr/goods/view?no=16020344
procurement/reve_final_order_bom_2026-09-17.csv (기존 계획가 포함)</x:v>
      </x:c>
    </x:row>
    <x:row r="44" ht="95" customHeight="1">
      <x:c r="A44" s="13" t="str">
        <x:v>BASE</x:v>
      </x:c>
      <x:c r="B44" s="13" t="str">
        <x:v>E10</x:v>
      </x:c>
      <x:c r="C44" s="13" t="str">
        <x:v>비상정지/STOP 스위치</x:v>
      </x:c>
      <x:c r="D44" s="13" t="str">
        <x:v>KGAUTO KGE-C4R2R, push-lock/turn-reset, 2a2b, 적색</x:v>
      </x:c>
      <x:c r="E44" s="13" t="str">
        <x:v>디바이스마트</x:v>
      </x:c>
      <x:c r="F44" s="19" t="n">
        <x:v>1</x:v>
      </x:c>
      <x:c r="G44" s="19" t="n">
        <x:v>1</x:v>
      </x:c>
      <x:c r="H44" s="19" t="str">
        <x:v>EA</x:v>
      </x:c>
      <x:c r="I44" s="20" t="n">
        <x:v>7260</x:v>
      </x:c>
      <x:c r="J44" s="20" t="n">
        <x:f>G44*I44</x:f>
        <x:v>7260</x:v>
      </x:c>
      <x:c r="K44" s="13" t="str">
        <x:v>ORDER_EXACT_ITEM
약 2주</x:v>
      </x:c>
      <x:c r="L44" s="13" t="str">
        <x:v>NC 접점으로 릴레이 코일 차단. 안전등급 주장 안 함
[출하] 기존 9/17 BOM 유지; 국내재고·출하 재확인</x:v>
      </x:c>
      <x:c r="M44" s="3"/>
      <x:c r="N44" s="12" t="str">
        <x:v>https://www.devicemart.co.kr/goods/view?no=10895022
procurement/reve_final_order_bom_2026-09-17.csv (기존 계획가 포함)</x:v>
      </x:c>
    </x:row>
    <x:row r="45" ht="95" customHeight="1">
      <x:c r="A45" s="3" t="str">
        <x:v>BASE</x:v>
      </x:c>
      <x:c r="B45" s="3" t="str">
        <x:v>E11</x:v>
      </x:c>
      <x:c r="C45" s="3" t="str">
        <x:v>모터전력 차단 릴레이</x:v>
      </x:c>
      <x:c r="D45" s="3" t="str">
        <x:v>Omron LY4-D DC24, 4PDT, 다이오드 내장</x:v>
      </x:c>
      <x:c r="E45" s="3" t="str">
        <x:v>디바이스마트</x:v>
      </x:c>
      <x:c r="F45" s="17" t="n">
        <x:v>1</x:v>
      </x:c>
      <x:c r="G45" s="17" t="n">
        <x:v>1</x:v>
      </x:c>
      <x:c r="H45" s="17" t="str">
        <x:v>EA</x:v>
      </x:c>
      <x:c r="I45" s="18" t="n">
        <x:v>65846</x:v>
      </x:c>
      <x:c r="J45" s="18" t="n">
        <x:f>G45*I45</x:f>
        <x:v>65846</x:v>
      </x:c>
      <x:c r="K45" s="3" t="str">
        <x:v>ORDER_EXACT_ITEM
4~5영업일</x:v>
      </x:c>
      <x:c r="L45" s="3" t="str">
        <x:v>3접점으로 3축 +24V 분리 차단, 1접점 자기유지
[출하] 기존 9/17 BOM 유지; 국내재고·출하 재확인</x:v>
      </x:c>
      <x:c r="M45" s="3"/>
      <x:c r="N45" s="12" t="str">
        <x:v>https://www.devicemart.co.kr/goods/view?no=8822862
procurement/reve_final_order_bom_2026-09-17.csv (기존 계획가 포함)</x:v>
      </x:c>
    </x:row>
    <x:row r="46" ht="95" customHeight="1">
      <x:c r="A46" s="13" t="str">
        <x:v>BASE</x:v>
      </x:c>
      <x:c r="B46" s="13" t="str">
        <x:v>E12</x:v>
      </x:c>
      <x:c r="C46" s="13" t="str">
        <x:v>릴레이 소켓</x:v>
      </x:c>
      <x:c r="D46" s="13" t="str">
        <x:v>Omron PTF14A, DIN rail/나사단자</x:v>
      </x:c>
      <x:c r="E46" s="13" t="str">
        <x:v>디바이스마트</x:v>
      </x:c>
      <x:c r="F46" s="19" t="n">
        <x:v>1</x:v>
      </x:c>
      <x:c r="G46" s="19" t="n">
        <x:v>1</x:v>
      </x:c>
      <x:c r="H46" s="19" t="str">
        <x:v>EA</x:v>
      </x:c>
      <x:c r="I46" s="20" t="n">
        <x:v>36443</x:v>
      </x:c>
      <x:c r="J46" s="20" t="n">
        <x:f>G46*I46</x:f>
        <x:v>36443</x:v>
      </x:c>
      <x:c r="K46" s="13" t="str">
        <x:v>ORDER_EXACT_ITEM
4~5영업일</x:v>
      </x:c>
      <x:c r="L46" s="13" t="str">
        <x:v>릴레이 핀 직접 납땜 금지
[출하] 기존 9/17 BOM 유지; 국내재고·출하 재확인</x:v>
      </x:c>
      <x:c r="M46" s="3"/>
      <x:c r="N46" s="12" t="str">
        <x:v>https://www.devicemart.co.kr/goods/view?no=8831641
procurement/reve_final_order_bom_2026-09-17.csv (기존 계획가 포함)</x:v>
      </x:c>
    </x:row>
    <x:row r="47" ht="95" customHeight="1">
      <x:c r="A47" s="3" t="str">
        <x:v>BASE</x:v>
      </x:c>
      <x:c r="B47" s="3" t="str">
        <x:v>E13</x:v>
      </x:c>
      <x:c r="C47" s="3" t="str">
        <x:v>START 순간버튼</x:v>
      </x:c>
      <x:c r="D47" s="3" t="str">
        <x:v>한영넉스 CRF-F25M1 G, 녹색, 1a1b, 25파이</x:v>
      </x:c>
      <x:c r="E47" s="3" t="str">
        <x:v>디바이스마트</x:v>
      </x:c>
      <x:c r="F47" s="17" t="n">
        <x:v>1</x:v>
      </x:c>
      <x:c r="G47" s="17" t="n">
        <x:v>1</x:v>
      </x:c>
      <x:c r="H47" s="17" t="str">
        <x:v>EA</x:v>
      </x:c>
      <x:c r="I47" s="18" t="n">
        <x:v>2860</x:v>
      </x:c>
      <x:c r="J47" s="18" t="n">
        <x:f>G47*I47</x:f>
        <x:v>2860</x:v>
      </x:c>
      <x:c r="K47" s="3" t="str">
        <x:v>ORDER_EXACT_ITEM
약 3일</x:v>
      </x:c>
      <x:c r="L47" s="3" t="str">
        <x:v>시작 명령/릴레이 자기유지 입력
[출하] 기존 9/17 BOM 유지; 국내재고·출하 재확인</x:v>
      </x:c>
      <x:c r="M47" s="3"/>
      <x:c r="N47" s="12" t="str">
        <x:v>https://www.devicemart.co.kr/goods/view?no=10916422
procurement/reve_final_order_bom_2026-09-17.csv (기존 계획가 포함)</x:v>
      </x:c>
    </x:row>
    <x:row r="48" ht="95" customHeight="1">
      <x:c r="A48" s="13" t="str">
        <x:v>BASE</x:v>
      </x:c>
      <x:c r="B48" s="13" t="str">
        <x:v>E14</x:v>
      </x:c>
      <x:c r="C48" s="13" t="str">
        <x:v>스크루 단자대</x:v>
      </x:c>
      <x:c r="D48" s="13" t="str">
        <x:v>JOTB-20-10, 20A, 10P</x:v>
      </x:c>
      <x:c r="E48" s="13" t="str">
        <x:v>나비엠알오</x:v>
      </x:c>
      <x:c r="F48" s="19" t="n">
        <x:v>2</x:v>
      </x:c>
      <x:c r="G48" s="19" t="n">
        <x:v>2</x:v>
      </x:c>
      <x:c r="H48" s="19" t="str">
        <x:v>EA</x:v>
      </x:c>
      <x:c r="I48" s="20" t="n">
        <x:v>2739</x:v>
      </x:c>
      <x:c r="J48" s="20" t="n">
        <x:f>G48*I48</x:f>
        <x:v>5478</x:v>
      </x:c>
      <x:c r="K48" s="13" t="str">
        <x:v>ORDER_BASE
재고 확인</x:v>
      </x:c>
      <x:c r="L48" s="13" t="str">
        <x:v>AC와 24/5V 단자대를 물리 분리
[출하] 기존 9/17 BOM 유지; 국내재고·출하 재확인</x:v>
      </x:c>
      <x:c r="M48" s="3"/>
      <x:c r="N48" s="12" t="str">
        <x:v>https://www.navimro.com/p/K02216060/
procurement/reve_final_order_bom_2026-09-17.csv (기존 계획가 포함)</x:v>
      </x:c>
    </x:row>
    <x:row r="49" ht="95" customHeight="1">
      <x:c r="A49" s="3" t="str">
        <x:v>BASE</x:v>
      </x:c>
      <x:c r="B49" s="3" t="str">
        <x:v>E15</x:v>
      </x:c>
      <x:c r="C49" s="3" t="str">
        <x:v>14AWG 실리콘 전선 세트</x:v>
      </x:c>
      <x:c r="D49" s="3" t="str">
        <x:v>적/흑/백, 판매구성 길이 확인</x:v>
      </x:c>
      <x:c r="E49" s="3" t="str">
        <x:v>나비엠알오</x:v>
      </x:c>
      <x:c r="F49" s="17" t="n">
        <x:v>1</x:v>
      </x:c>
      <x:c r="G49" s="17" t="n">
        <x:v>1</x:v>
      </x:c>
      <x:c r="H49" s="17" t="str">
        <x:v>SET</x:v>
      </x:c>
      <x:c r="I49" s="18" t="n">
        <x:v>82489</x:v>
      </x:c>
      <x:c r="J49" s="18" t="n">
        <x:f>G49*I49</x:f>
        <x:v>82489</x:v>
      </x:c>
      <x:c r="K49" s="3" t="str">
        <x:v>CHECKOUT_CONTENT
재고 확인</x:v>
      </x:c>
      <x:c r="L49" s="3" t="str">
        <x:v>세 축 케이블 길이를 동등하게 구성
[출하] 기존 9/17 BOM 유지; 국내재고·출하 재확인</x:v>
      </x:c>
      <x:c r="M49" s="3"/>
      <x:c r="N49" s="12" t="str">
        <x:v>https://www.navimro.com/p/K92854706/
procurement/reve_final_order_bom_2026-09-17.csv (기존 계획가 포함)</x:v>
      </x:c>
    </x:row>
    <x:row r="50" ht="95" customHeight="1">
      <x:c r="A50" s="13" t="str">
        <x:v>BASE</x:v>
      </x:c>
      <x:c r="B50" s="13" t="str">
        <x:v>E16</x:v>
      </x:c>
      <x:c r="C50" s="13" t="str">
        <x:v>24AWG 제어전선 세트</x:v>
      </x:c>
      <x:c r="D50" s="13" t="str">
        <x:v>UL1007, 6색, 총60 m</x:v>
      </x:c>
      <x:c r="E50" s="13" t="str">
        <x:v>나비엠알오</x:v>
      </x:c>
      <x:c r="F50" s="19" t="n">
        <x:v>1</x:v>
      </x:c>
      <x:c r="G50" s="19" t="n">
        <x:v>1</x:v>
      </x:c>
      <x:c r="H50" s="19" t="str">
        <x:v>SET</x:v>
      </x:c>
      <x:c r="I50" s="20" t="n">
        <x:v>34089</x:v>
      </x:c>
      <x:c r="J50" s="20" t="n">
        <x:f>G50*I50</x:f>
        <x:v>34089</x:v>
      </x:c>
      <x:c r="K50" s="13" t="str">
        <x:v>ORDER_BASE
재고 확인</x:v>
      </x:c>
      <x:c r="L50" s="13" t="str">
        <x:v>버튼·접점·단거리 제어배선용 유지. RS485는 별도 차폐 연선 CB01 사용.
[출하] 기존 9/17 BOM 유지; 국내재고·출하 재확인</x:v>
      </x:c>
      <x:c r="M50" s="3"/>
      <x:c r="N50" s="12" t="str">
        <x:v>https://www.navimro.com/p/K92843703/
procurement/reve_final_order_bom_2026-09-17.csv (기존 계획가 포함)</x:v>
      </x:c>
    </x:row>
    <x:row r="51" ht="95" customHeight="1">
      <x:c r="A51" s="3" t="str">
        <x:v>BASE</x:v>
      </x:c>
      <x:c r="B51" s="3" t="str">
        <x:v>E17</x:v>
      </x:c>
      <x:c r="C51" s="3" t="str">
        <x:v>열수축튜브 키트</x:v>
      </x:c>
      <x:c r="D51" s="3" t="str">
        <x:v>12종 750 pcs</x:v>
      </x:c>
      <x:c r="E51" s="3" t="str">
        <x:v>나비엠알오</x:v>
      </x:c>
      <x:c r="F51" s="17" t="n">
        <x:v>1</x:v>
      </x:c>
      <x:c r="G51" s="17" t="n">
        <x:v>1</x:v>
      </x:c>
      <x:c r="H51" s="17" t="str">
        <x:v>SET</x:v>
      </x:c>
      <x:c r="I51" s="18" t="n">
        <x:v>12089</x:v>
      </x:c>
      <x:c r="J51" s="18" t="n">
        <x:f>G51*I51</x:f>
        <x:v>12089</x:v>
      </x:c>
      <x:c r="K51" s="3" t="str">
        <x:v>ORDER_BASE
재고 확인</x:v>
      </x:c>
      <x:c r="L51" s="3" t="str">
        <x:v>접속부 절연과 식별
[출하] 기존 9/17 BOM 유지; 국내재고·출하 재확인</x:v>
      </x:c>
      <x:c r="M51" s="3"/>
      <x:c r="N51" s="12" t="str">
        <x:v>https://www.navimro.com/p/K52569152/
procurement/reve_final_order_bom_2026-09-17.csv (기존 계획가 포함)</x:v>
      </x:c>
    </x:row>
    <x:row r="52" ht="95" customHeight="1">
      <x:c r="A52" s="13" t="str">
        <x:v>BASE</x:v>
      </x:c>
      <x:c r="B52" s="13" t="str">
        <x:v>E18</x:v>
      </x:c>
      <x:c r="C52" s="13" t="str">
        <x:v>케이블 글랜드</x:v>
      </x:c>
      <x:c r="D52" s="13" t="str">
        <x:v>PG13.5, 6~12 mm, 10개/팩</x:v>
      </x:c>
      <x:c r="E52" s="13" t="str">
        <x:v>나비엠알오</x:v>
      </x:c>
      <x:c r="F52" s="19" t="n">
        <x:v>7</x:v>
      </x:c>
      <x:c r="G52" s="19" t="n">
        <x:v>1</x:v>
      </x:c>
      <x:c r="H52" s="19" t="str">
        <x:v>PK_10</x:v>
      </x:c>
      <x:c r="I52" s="20" t="n">
        <x:v>6919</x:v>
      </x:c>
      <x:c r="J52" s="20" t="n">
        <x:f>G52*I52</x:f>
        <x:v>6919</x:v>
      </x:c>
      <x:c r="K52" s="13" t="str">
        <x:v>ORDER_BASE
재고 확인</x:v>
      </x:c>
      <x:c r="L52" s="13" t="str">
        <x:v>모터3+신호3+AC1
[출하] 기존 9/17 BOM 유지; 국내재고·출하 재확인</x:v>
      </x:c>
      <x:c r="M52" s="3"/>
      <x:c r="N52" s="12" t="str">
        <x:v>https://www.navimro.com/p/K22571959/
procurement/reve_final_order_bom_2026-09-17.csv (기존 계획가 포함)</x:v>
      </x:c>
    </x:row>
    <x:row r="53" ht="95" customHeight="1">
      <x:c r="A53" s="3" t="str">
        <x:v>BASE</x:v>
      </x:c>
      <x:c r="B53" s="3" t="str">
        <x:v>E19</x:v>
      </x:c>
      <x:c r="C53" s="3" t="str">
        <x:v>페룰 키트</x:v>
      </x:c>
      <x:c r="D53" s="3" t="str">
        <x:v>DY6330, 0.5~2.5sq</x:v>
      </x:c>
      <x:c r="E53" s="3" t="str">
        <x:v>나비엠알오</x:v>
      </x:c>
      <x:c r="F53" s="17" t="n">
        <x:v>1</x:v>
      </x:c>
      <x:c r="G53" s="17" t="n">
        <x:v>1</x:v>
      </x:c>
      <x:c r="H53" s="17" t="str">
        <x:v>SET</x:v>
      </x:c>
      <x:c r="I53" s="18" t="n">
        <x:v>43989</x:v>
      </x:c>
      <x:c r="J53" s="18" t="n">
        <x:f>G53*I53</x:f>
        <x:v>43989</x:v>
      </x:c>
      <x:c r="K53" s="3" t="str">
        <x:v>ORDER_BASE
재고 확인</x:v>
      </x:c>
      <x:c r="L53" s="3" t="str">
        <x:v>나사단자에 연선 직접 체결 금지
[출하] 기존 9/17 BOM 유지; 국내재고·출하 재확인</x:v>
      </x:c>
      <x:c r="M53" s="3"/>
      <x:c r="N53" s="12" t="str">
        <x:v>https://www.navimro.com/p/K92839991/
procurement/reve_final_order_bom_2026-09-17.csv (기존 계획가 포함)</x:v>
      </x:c>
    </x:row>
    <x:row r="54" ht="95" customHeight="1">
      <x:c r="A54" s="13" t="str">
        <x:v>BASE</x:v>
      </x:c>
      <x:c r="B54" s="13" t="str">
        <x:v>E20</x:v>
      </x:c>
      <x:c r="C54" s="13" t="str">
        <x:v>케이블 타이</x:v>
      </x:c>
      <x:c r="D54" s="13" t="str">
        <x:v>J-200 black, 200×4.8, 1000개/팩</x:v>
      </x:c>
      <x:c r="E54" s="13" t="str">
        <x:v>나비엠알오</x:v>
      </x:c>
      <x:c r="F54" s="19" t="n">
        <x:v>1</x:v>
      </x:c>
      <x:c r="G54" s="19" t="n">
        <x:v>1</x:v>
      </x:c>
      <x:c r="H54" s="19" t="str">
        <x:v>PK_1000</x:v>
      </x:c>
      <x:c r="I54" s="20" t="n">
        <x:v>17039</x:v>
      </x:c>
      <x:c r="J54" s="20" t="n">
        <x:f>G54*I54</x:f>
        <x:v>17039</x:v>
      </x:c>
      <x:c r="K54" s="13" t="str">
        <x:v>ORDER_BASE
재고 확인</x:v>
      </x:c>
      <x:c r="L54" s="13" t="str">
        <x:v>이동 케이블에는 여유 루프 확보
[출하] 기존 9/17 BOM 유지; 국내재고·출하 재확인</x:v>
      </x:c>
      <x:c r="M54" s="3"/>
      <x:c r="N54" s="12" t="str">
        <x:v>https://www.navimro.com/p/K01415707/
procurement/reve_final_order_bom_2026-09-17.csv (기존 계획가 포함)</x:v>
      </x:c>
    </x:row>
    <x:row r="55" ht="95" customHeight="1">
      <x:c r="A55" s="3" t="str">
        <x:v>BASE</x:v>
      </x:c>
      <x:c r="B55" s="3" t="str">
        <x:v>E21</x:v>
      </x:c>
      <x:c r="C55" s="3" t="str">
        <x:v>PVC 절연테이프</x:v>
      </x:c>
      <x:c r="D55" s="3" t="str">
        <x:v>흑색 10 m×19 mm</x:v>
      </x:c>
      <x:c r="E55" s="3" t="str">
        <x:v>나비엠알오</x:v>
      </x:c>
      <x:c r="F55" s="17" t="n">
        <x:v>3</x:v>
      </x:c>
      <x:c r="G55" s="17" t="n">
        <x:v>3</x:v>
      </x:c>
      <x:c r="H55" s="17" t="str">
        <x:v>EA</x:v>
      </x:c>
      <x:c r="I55" s="18" t="n">
        <x:v>550</x:v>
      </x:c>
      <x:c r="J55" s="18" t="n">
        <x:f>G55*I55</x:f>
        <x:v>1650</x:v>
      </x:c>
      <x:c r="K55" s="3" t="str">
        <x:v>ORDER_BASE
재고 확인</x:v>
      </x:c>
      <x:c r="L55" s="3" t="str">
        <x:v>영구 접속 절연은 열수축 사용
[출하] 기존 9/17 BOM 유지; 국내재고·출하 재확인</x:v>
      </x:c>
      <x:c r="M55" s="3"/>
      <x:c r="N55" s="12" t="str">
        <x:v>https://www.navimro.com/p/K40799280/
procurement/reve_final_order_bom_2026-09-17.csv (기존 계획가 포함)</x:v>
      </x:c>
    </x:row>
    <x:row r="56" ht="95" customHeight="1">
      <x:c r="A56" s="13" t="str">
        <x:v>BASE</x:v>
      </x:c>
      <x:c r="B56" s="13" t="str">
        <x:v>E22</x:v>
      </x:c>
      <x:c r="C56" s="13" t="str">
        <x:v>35 mm DIN 레일</x:v>
      </x:c>
      <x:c r="D56" s="13" t="str">
        <x:v>JTRN-4, steel, 1 m</x:v>
      </x:c>
      <x:c r="E56" s="13" t="str">
        <x:v>디바이스마트</x:v>
      </x:c>
      <x:c r="F56" s="19" t="n">
        <x:v>1</x:v>
      </x:c>
      <x:c r="G56" s="19" t="n">
        <x:v>1</x:v>
      </x:c>
      <x:c r="H56" s="19" t="str">
        <x:v>EA</x:v>
      </x:c>
      <x:c r="I56" s="20" t="n">
        <x:v>16720</x:v>
      </x:c>
      <x:c r="J56" s="20" t="n">
        <x:f>G56*I56</x:f>
        <x:v>16720</x:v>
      </x:c>
      <x:c r="K56" s="13" t="str">
        <x:v>ORDER_BASE
재고 확인</x:v>
      </x:c>
      <x:c r="L56" s="13" t="str">
        <x:v>전장함 배치 후 필요한 길이만 절단/디버링
[출하] 기존 9/17 BOM 유지; 국내재고·출하 재확인</x:v>
      </x:c>
      <x:c r="M56" s="3"/>
      <x:c r="N56" s="12" t="str">
        <x:v>https://www.devicemart.co.kr/goods/view?no=12538843
procurement/reve_final_order_bom_2026-09-17.csv (기존 계획가 포함)</x:v>
      </x:c>
    </x:row>
    <x:row r="57" ht="95" customHeight="1">
      <x:c r="A57" s="3" t="str">
        <x:v>BASE</x:v>
      </x:c>
      <x:c r="B57" s="3" t="str">
        <x:v>E23</x:v>
      </x:c>
      <x:c r="C57" s="3" t="str">
        <x:v>녹/황 보호접지선</x:v>
      </x:c>
      <x:c r="D57" s="3" t="str">
        <x:v>TFR-GV 2.5sq, m단위</x:v>
      </x:c>
      <x:c r="E57" s="3" t="str">
        <x:v>나비엠알오</x:v>
      </x:c>
      <x:c r="F57" s="17" t="n">
        <x:v>3</x:v>
      </x:c>
      <x:c r="G57" s="17" t="n">
        <x:v>3</x:v>
      </x:c>
      <x:c r="H57" s="17" t="str">
        <x:v>M</x:v>
      </x:c>
      <x:c r="I57" s="18" t="n">
        <x:v>1419</x:v>
      </x:c>
      <x:c r="J57" s="18" t="n">
        <x:f>G57*I57</x:f>
        <x:v>4257</x:v>
      </x:c>
      <x:c r="K57" s="3" t="str">
        <x:v>ORDER_BASE
재고 확인</x:v>
      </x:c>
      <x:c r="L57" s="3" t="str">
        <x:v>PE-PSU 섀시-노출 도전부 연결
[출하] 기존 9/17 BOM 유지; 국내재고·출하 재확인</x:v>
      </x:c>
      <x:c r="M57" s="3"/>
      <x:c r="N57" s="12" t="str">
        <x:v>https://www.navimro.com/p/K55027039/
procurement/reve_final_order_bom_2026-09-17.csv (기존 계획가 포함)</x:v>
      </x:c>
    </x:row>
    <x:row r="58" ht="112" customHeight="1">
      <x:c r="A58" s="13" t="str">
        <x:v>BASE</x:v>
      </x:c>
      <x:c r="B58" s="13" t="str">
        <x:v>E24</x:v>
      </x:c>
      <x:c r="C58" s="13" t="str">
        <x:v>절연 압착단자 키트</x:v>
      </x:c>
      <x:c r="D58" s="13" t="str">
        <x:v>링/포크 단자 150 pcs</x:v>
      </x:c>
      <x:c r="E58" s="13" t="str">
        <x:v>나비엠알오</x:v>
      </x:c>
      <x:c r="F58" s="19" t="n">
        <x:v>1</x:v>
      </x:c>
      <x:c r="G58" s="19" t="n">
        <x:v>1</x:v>
      </x:c>
      <x:c r="H58" s="19" t="str">
        <x:v>SET</x:v>
      </x:c>
      <x:c r="I58" s="20" t="n">
        <x:v>7249</x:v>
      </x:c>
      <x:c r="J58" s="20" t="n">
        <x:f>G58*I58</x:f>
        <x:v>7249</x:v>
      </x:c>
      <x:c r="K58" s="13" t="str">
        <x:v>CHECKOUT_SIZE
재고 확인</x:v>
      </x:c>
      <x:c r="L58" s="13" t="str">
        <x:v>1.5~2.5sq 및 M4/M5 포함 여부 확인
[출하] 기존 9/17 BOM 유지; 국내재고·출하 재확인</x:v>
      </x:c>
      <x:c r="M58" s="3"/>
      <x:c r="N58" s="12" t="str">
        <x:v>https://www.navimro.com/p/K92807634/
procurement/reve_final_order_bom_2026-09-17.csv (기존 계획가 포함)</x:v>
      </x:c>
    </x:row>
    <x:row r="59" ht="112" customHeight="1">
      <x:c r="A59" s="3" t="str">
        <x:v>BASE</x:v>
      </x:c>
      <x:c r="B59" s="3" t="str">
        <x:v>PC01</x:v>
      </x:c>
      <x:c r="C59" s="3" t="str">
        <x:v>Portenta Machine Control</x:v>
      </x:c>
      <x:c r="D59" s="3" t="str">
        <x:v>AKX00032 / 13963538</x:v>
      </x:c>
      <x:c r="E59" s="3" t="str">
        <x:v>디바이스마트</x:v>
      </x:c>
      <x:c r="F59" s="17" t="n">
        <x:v>1</x:v>
      </x:c>
      <x:c r="G59" s="17" t="n">
        <x:v>1</x:v>
      </x:c>
      <x:c r="H59" s="17" t="str">
        <x:v>EA</x:v>
      </x:c>
      <x:c r="I59" s="18" t="n">
        <x:v>546667</x:v>
      </x:c>
      <x:c r="J59" s="18" t="n">
        <x:f>G59*I59</x:f>
        <x:v>546667</x:v>
      </x:c>
      <x:c r="K59" s="15" t="str">
        <x:v>HOLD_LANDED_COST
화면 4~5일 vs 해외약관 평균10~15일 충돌 / 공급처 확정 필요</x:v>
      </x:c>
      <x:c r="L59" s="3" t="str">
        <x:v>DigiKey 해외조달. 표시가546667원은 최종 도착원가 아님. 약관15만원 이상 관부가세 고객 부담·취소불가. AL01은 계획 충당액이며 실제 관세/수입VAT/운임 견적 필요.
[출하] DigiKey 해외조달 / 고객 별도 관부가세 / 재고244 해외연계</x:v>
      </x:c>
      <x:c r="M59" s="3"/>
      <x:c r="N59" s="12" t="str">
        <x:v>https://www.devicemart.co.kr/goods/view?no=13963538
Task1 AKX00032_devicemart_product_page.html: display L9695, terms L11681–11683</x:v>
      </x:c>
    </x:row>
    <x:row r="60" ht="112" customHeight="1">
      <x:c r="A60" s="13" t="str">
        <x:v>BASE</x:v>
      </x:c>
      <x:c r="B60" s="13" t="str">
        <x:v>AL01</x:v>
      </x:c>
      <x:c r="C60" s="13" t="str">
        <x:v>PC01 수입·운임 계획 충당액(주문품 아님)</x:v>
      </x:c>
      <x:c r="D60" s="13" t="str">
        <x:v>PC01 화면가×20% 반올림 / 비확정 계획액</x:v>
      </x:c>
      <x:c r="E60" s="13" t="str">
        <x:v>PC01 해외조달 비용 충당(수취인 미확정)</x:v>
      </x:c>
      <x:c r="F60" s="19" t="n">
        <x:v>1</x:v>
      </x:c>
      <x:c r="G60" s="19" t="n">
        <x:v>1</x:v>
      </x:c>
      <x:c r="H60" s="19" t="str">
        <x:v>ALLOWANCE</x:v>
      </x:c>
      <x:c r="I60" s="20" t="n">
        <x:v>109333</x:v>
      </x:c>
      <x:c r="J60" s="20" t="n">
        <x:f>G60*I60</x:f>
        <x:v>109333</x:v>
      </x:c>
      <x:c r="K60" s="15" t="str">
        <x:v>PLANNING_ALLOWANCE_NOT_QUOTE
PC01 최종 도착원가 회신 전 미확정</x:v>
      </x:c>
      <x:c r="L60" s="13" t="str">
        <x:v>546667×20%=109333.4→109333원 계획 충당. 확정 세액 아님; 실제 세율·과세표준·운임 계산 아님. 견적 수령 후 실제 도착원가로 대체하며 추가비용 가능. 장바구니 입력 금지.
[출하] 수입 관부가세·운임 불확실성 / 계획 가정</x:v>
      </x:c>
      <x:c r="M60" s="3"/>
      <x:c r="N60" s="12" t="str">
        <x:v>https://www.devicemart.co.kr/goods/view?no=13963538
판매약관 비용부담 근거: Task1 archive L11681; 20%는 Task2 fix1 보수적 계획 가정</x:v>
      </x:c>
    </x:row>
    <x:row r="61" ht="112" customHeight="1">
      <x:c r="A61" s="3" t="str">
        <x:v>BASE</x:v>
      </x:c>
      <x:c r="B61" s="3" t="str">
        <x:v>DC01</x:v>
      </x:c>
      <x:c r="C61" s="3" t="str">
        <x:v>DMC-200 축1 위치제어 드라이버</x:v>
      </x:c>
      <x:c r="D61" s="3" t="str">
        <x:v>DMC-200 / 1000008040</x:v>
      </x:c>
      <x:c r="E61" s="3" t="str">
        <x:v>모터뱅크</x:v>
      </x:c>
      <x:c r="F61" s="17" t="n">
        <x:v>1</x:v>
      </x:c>
      <x:c r="G61" s="17" t="n">
        <x:v>1</x:v>
      </x:c>
      <x:c r="H61" s="17" t="str">
        <x:v>EA</x:v>
      </x:c>
      <x:c r="I61" s="18" t="n">
        <x:v>94380</x:v>
      </x:c>
      <x:c r="J61" s="18" t="n">
        <x:f>G61*I61</x:f>
        <x:v>94380</x:v>
      </x:c>
      <x:c r="K61" s="15" t="str">
        <x:v>HOLD_VENDOR_REPLY
결제 전 재확인</x:v>
      </x:c>
      <x:c r="L61" s="3" t="str">
        <x:v>엔코더 레벨·pull-up·5V전류·계수·내장리미트 복귀·0x0E/0x0F·3노드 회신 전 주문 금지.
[출하] 국내 판매·출하 조건 재확인</x:v>
      </x:c>
      <x:c r="M61" s="3"/>
      <x:c r="N61" s="12" t="str">
        <x:v>https://www.motorbank.kr/goods/goods_view.php?goodsNo=1000008040
Task1 supplier matrix / DMC-200_motorbank_product_page.html</x:v>
      </x:c>
    </x:row>
    <x:row r="62" ht="112" customHeight="1">
      <x:c r="A62" s="13" t="str">
        <x:v>BASE</x:v>
      </x:c>
      <x:c r="B62" s="13" t="str">
        <x:v>DC02</x:v>
      </x:c>
      <x:c r="C62" s="13" t="str">
        <x:v>DMC-200 축2 위치제어 드라이버</x:v>
      </x:c>
      <x:c r="D62" s="13" t="str">
        <x:v>DMC-200 / 1000008040</x:v>
      </x:c>
      <x:c r="E62" s="13" t="str">
        <x:v>모터뱅크</x:v>
      </x:c>
      <x:c r="F62" s="19" t="n">
        <x:v>1</x:v>
      </x:c>
      <x:c r="G62" s="19" t="n">
        <x:v>1</x:v>
      </x:c>
      <x:c r="H62" s="19" t="str">
        <x:v>EA</x:v>
      </x:c>
      <x:c r="I62" s="20" t="n">
        <x:v>94380</x:v>
      </x:c>
      <x:c r="J62" s="20" t="n">
        <x:f>G62*I62</x:f>
        <x:v>94380</x:v>
      </x:c>
      <x:c r="K62" s="15" t="str">
        <x:v>HOLD_VENDOR_REPLY
결제 전 재확인</x:v>
      </x:c>
      <x:c r="L62" s="13" t="str">
        <x:v>엔코더 레벨·pull-up·5V전류·계수·내장리미트 복귀·0x0E/0x0F·3노드 회신 전 주문 금지.
[출하] 국내 판매·출하 조건 재확인</x:v>
      </x:c>
      <x:c r="M62" s="3"/>
      <x:c r="N62" s="12" t="str">
        <x:v>https://www.motorbank.kr/goods/goods_view.php?goodsNo=1000008040
Task1 supplier matrix / DMC-200_motorbank_product_page.html</x:v>
      </x:c>
    </x:row>
    <x:row r="63" ht="112" customHeight="1">
      <x:c r="A63" s="3" t="str">
        <x:v>BASE</x:v>
      </x:c>
      <x:c r="B63" s="3" t="str">
        <x:v>DC03</x:v>
      </x:c>
      <x:c r="C63" s="3" t="str">
        <x:v>DMC-200 축3 위치제어 드라이버</x:v>
      </x:c>
      <x:c r="D63" s="3" t="str">
        <x:v>DMC-200 / 1000008040</x:v>
      </x:c>
      <x:c r="E63" s="3" t="str">
        <x:v>모터뱅크</x:v>
      </x:c>
      <x:c r="F63" s="17" t="n">
        <x:v>1</x:v>
      </x:c>
      <x:c r="G63" s="17" t="n">
        <x:v>1</x:v>
      </x:c>
      <x:c r="H63" s="17" t="str">
        <x:v>EA</x:v>
      </x:c>
      <x:c r="I63" s="18" t="n">
        <x:v>94380</x:v>
      </x:c>
      <x:c r="J63" s="18" t="n">
        <x:f>G63*I63</x:f>
        <x:v>94380</x:v>
      </x:c>
      <x:c r="K63" s="15" t="str">
        <x:v>HOLD_VENDOR_REPLY
결제 전 재확인</x:v>
      </x:c>
      <x:c r="L63" s="3" t="str">
        <x:v>엔코더 레벨·pull-up·5V전류·계수·내장리미트 복귀·0x0E/0x0F·3노드 회신 전 주문 금지.
[출하] 국내 판매·출하 조건 재확인</x:v>
      </x:c>
      <x:c r="M63" s="3"/>
      <x:c r="N63" s="12" t="str">
        <x:v>https://www.motorbank.kr/goods/goods_view.php?goodsNo=1000008040
Task1 supplier matrix / DMC-200_motorbank_product_page.html</x:v>
      </x:c>
    </x:row>
    <x:row r="64" ht="112" customHeight="1">
      <x:c r="A64" s="13" t="str">
        <x:v>BASE</x:v>
      </x:c>
      <x:c r="B64" s="13" t="str">
        <x:v>IS01</x:v>
      </x:c>
      <x:c r="C64" s="13" t="str">
        <x:v>상부 절대 경사센서</x:v>
      </x:c>
      <x:c r="D64" s="13" t="str">
        <x:v>HWT905-RS485 / 3973625857 / 옵션03(+46200)</x:v>
      </x:c>
      <x:c r="E64" s="13" t="str">
        <x:v>G마켓 케이일레븐홀딩스</x:v>
      </x:c>
      <x:c r="F64" s="19" t="n">
        <x:v>1</x:v>
      </x:c>
      <x:c r="G64" s="19" t="n">
        <x:v>1</x:v>
      </x:c>
      <x:c r="H64" s="19" t="str">
        <x:v>EA</x:v>
      </x:c>
      <x:c r="I64" s="20" t="n">
        <x:v>182530</x:v>
      </x:c>
      <x:c r="J64" s="20" t="n">
        <x:f>G64*I64</x:f>
        <x:v>182530</x:v>
      </x:c>
      <x:c r="K64" s="13" t="str">
        <x:v>CHECKOUT_RECONFIRM
9/21 출발 표시 / 무료배송</x:v>
      </x:c>
      <x:c r="L64" s="13" t="str">
        <x:v>RS485형 정확 선택; 9~36V. 각각 고유주소/20Hz 폴링은 입고 검증. MK700 제외.
[출하] 국내배송 전용; 수량2 재고 결제 전 재확인</x:v>
      </x:c>
      <x:c r="M64" s="3"/>
      <x:c r="N64" s="12" t="str">
        <x:v>https://item.gmarket.co.kr/Item?goodsCode=3973625857
Task1 HWT905_RS485_gmarket_evidence_2026-09-20.md</x:v>
      </x:c>
    </x:row>
    <x:row r="65" ht="112" customHeight="1">
      <x:c r="A65" s="3" t="str">
        <x:v>BASE</x:v>
      </x:c>
      <x:c r="B65" s="3" t="str">
        <x:v>IS02</x:v>
      </x:c>
      <x:c r="C65" s="3" t="str">
        <x:v>하부 절대 경사센서</x:v>
      </x:c>
      <x:c r="D65" s="3" t="str">
        <x:v>HWT905-RS485 / 3973625857 / 옵션03(+46200)</x:v>
      </x:c>
      <x:c r="E65" s="3" t="str">
        <x:v>G마켓 케이일레븐홀딩스</x:v>
      </x:c>
      <x:c r="F65" s="17" t="n">
        <x:v>1</x:v>
      </x:c>
      <x:c r="G65" s="17" t="n">
        <x:v>1</x:v>
      </x:c>
      <x:c r="H65" s="17" t="str">
        <x:v>EA</x:v>
      </x:c>
      <x:c r="I65" s="18" t="n">
        <x:v>182530</x:v>
      </x:c>
      <x:c r="J65" s="18" t="n">
        <x:f>G65*I65</x:f>
        <x:v>182530</x:v>
      </x:c>
      <x:c r="K65" s="3" t="str">
        <x:v>CHECKOUT_RECONFIRM
9/21 출발 표시 / 무료배송</x:v>
      </x:c>
      <x:c r="L65" s="3" t="str">
        <x:v>RS485형 정확 선택; 9~36V. 각각 고유주소/20Hz 폴링은 입고 검증. MK700 제외.
[출하] 국내배송 전용; 수량2 재고 결제 전 재확인</x:v>
      </x:c>
      <x:c r="M65" s="3"/>
      <x:c r="N65" s="12" t="str">
        <x:v>https://item.gmarket.co.kr/Item?goodsCode=3973625857
Task1 HWT905_RS485_gmarket_evidence_2026-09-20.md</x:v>
      </x:c>
    </x:row>
    <x:row r="66" ht="112" customHeight="1">
      <x:c r="A66" s="13" t="str">
        <x:v>BASE</x:v>
      </x:c>
      <x:c r="B66" s="13" t="str">
        <x:v>HM01</x:v>
      </x:c>
      <x:c r="C66" s="13" t="str">
        <x:v>7인치 HMI</x:v>
      </x:c>
      <x:c r="D66" s="13" t="str">
        <x:v>Weintek MT8072iP / 4729242374</x:v>
      </x:c>
      <x:c r="E66" s="13" t="str">
        <x:v>G마켓 오토센코리아</x:v>
      </x:c>
      <x:c r="F66" s="19" t="n">
        <x:v>1</x:v>
      </x:c>
      <x:c r="G66" s="19" t="n">
        <x:v>1</x:v>
      </x:c>
      <x:c r="H66" s="19" t="str">
        <x:v>EA</x:v>
      </x:c>
      <x:c r="I66" s="20" t="n">
        <x:v>264000</x:v>
      </x:c>
      <x:c r="J66" s="20" t="n">
        <x:f>G66*I66</x:f>
        <x:v>264000</x:v>
      </x:c>
      <x:c r="K66" s="13" t="str">
        <x:v>CHECKOUT_RECONFIRM
9/21 출발 / 1~3일</x:v>
      </x:c>
      <x:c r="L66" s="13" t="str">
        <x:v>24V; Ethernet Modbus TCP HMI. 납품 리비전·전류·로그 설정 Task3/7 확인.
[출하] 국내배송 전용</x:v>
      </x:c>
      <x:c r="M66" s="3"/>
      <x:c r="N66" s="12" t="str">
        <x:v>https://item.gmarket.co.kr/Item?goodsCode=4729242374
Task1 MT8072iP_gmarket_autosen_evidence_2026-09-20.md</x:v>
      </x:c>
    </x:row>
    <x:row r="67" ht="112" customHeight="1">
      <x:c r="A67" s="3" t="str">
        <x:v>BASE</x:v>
      </x:c>
      <x:c r="B67" s="3" t="str">
        <x:v>SH01</x:v>
      </x:c>
      <x:c r="C67" s="3" t="str">
        <x:v>HMI 배송비</x:v>
      </x:c>
      <x:c r="D67" s="3" t="str">
        <x:v>MT8072iP 국내 택배</x:v>
      </x:c>
      <x:c r="E67" s="3" t="str">
        <x:v>G마켓 오토센코리아</x:v>
      </x:c>
      <x:c r="F67" s="17" t="n">
        <x:v>1</x:v>
      </x:c>
      <x:c r="G67" s="17" t="n">
        <x:v>1</x:v>
      </x:c>
      <x:c r="H67" s="17" t="str">
        <x:v>EA</x:v>
      </x:c>
      <x:c r="I67" s="18" t="n">
        <x:v>3000</x:v>
      </x:c>
      <x:c r="J67" s="18" t="n">
        <x:f>G67*I67</x:f>
        <x:v>3000</x:v>
      </x:c>
      <x:c r="K67" s="3" t="str">
        <x:v>CHECKOUT_RECONFIRM
결제 전 재확인</x:v>
      </x:c>
      <x:c r="L67" s="3" t="str">
        <x:v>상품금액과 중복 계산하지 않은 배송 1건.
[출하] 국내배송</x:v>
      </x:c>
      <x:c r="M67" s="3"/>
      <x:c r="N67" s="12" t="str">
        <x:v>https://item.gmarket.co.kr/Item?goodsCode=4729242374
Task1 HMI Gmarket evidence</x:v>
      </x:c>
    </x:row>
    <x:row r="68" ht="112" customHeight="1">
      <x:c r="A68" s="13" t="str">
        <x:v>BASE</x:v>
      </x:c>
      <x:c r="B68" s="13" t="str">
        <x:v>MV01</x:v>
      </x:c>
      <x:c r="C68" s="13" t="str">
        <x:v>독립 Z 검증 디지털 인디케이터</x:v>
      </x:c>
      <x:c r="D68" s="13" t="str">
        <x:v>Mitutoyo 543-730B / K56222641 / 50.8mm / Ø8mm stem</x:v>
      </x:c>
      <x:c r="E68" s="13" t="str">
        <x:v>나비엠알오</x:v>
      </x:c>
      <x:c r="F68" s="19" t="n">
        <x:v>1</x:v>
      </x:c>
      <x:c r="G68" s="19" t="n">
        <x:v>1</x:v>
      </x:c>
      <x:c r="H68" s="19" t="str">
        <x:v>EA</x:v>
      </x:c>
      <x:c r="I68" s="20" t="n">
        <x:v>681989</x:v>
      </x:c>
      <x:c r="J68" s="20" t="n">
        <x:f>G68*I68</x:f>
        <x:v>681989</x:v>
      </x:c>
      <x:c r="K68" s="13" t="str">
        <x:v>CHECKOUT_RECONFIRM
9/28 출하 표시</x:v>
      </x:c>
      <x:c r="L68" s="13" t="str">
        <x:v>정지한 0/25/50mm Z를 독립 측정·사진 보고용. 폐루프 제어 아님. 최소 예압0.2~0.3mm, 측정범위 초과 금지. HOME/기울임 때 분리.
[출하] 국내몰 출하일 표시; 원산지 일본 / 창고 재고 재확인</x:v>
      </x:c>
      <x:c r="M68" s="3"/>
      <x:c r="N68" s="12" t="str">
        <x:v>https://www.navimro.com/p/K56222641/
gauge.html + gauge_official.html; 공식 stem Ø8mm·50.8mm</x:v>
      </x:c>
    </x:row>
    <x:row r="69" ht="112" customHeight="1">
      <x:c r="A69" s="3" t="str">
        <x:v>BASE</x:v>
      </x:c>
      <x:c r="B69" s="3" t="str">
        <x:v>MV02</x:v>
      </x:c>
      <x:c r="C69" s="3" t="str">
        <x:v>Ø8mm 측정기 관절 홀더(베이스 없음)</x:v>
      </x:c>
      <x:c r="D69" s="3" t="str">
        <x:v>NOGA DG60103 / HT3205(DG-60103) / 456-0157</x:v>
      </x:c>
      <x:c r="E69" s="3" t="str">
        <x:v>툴앤샵</x:v>
      </x:c>
      <x:c r="F69" s="17" t="n">
        <x:v>1</x:v>
      </x:c>
      <x:c r="G69" s="17" t="n">
        <x:v>1</x:v>
      </x:c>
      <x:c r="H69" s="17" t="str">
        <x:v>EA</x:v>
      </x:c>
      <x:c r="I69" s="18" t="n">
        <x:v>142670</x:v>
      </x:c>
      <x:c r="J69" s="18" t="n">
        <x:f>G69*I69</x:f>
        <x:v>142670</x:v>
      </x:c>
      <x:c r="K69" s="3" t="str">
        <x:v>CHECKOUT_RECONFIRM
재고 유 / 9/21 출고 표시</x:v>
      </x:c>
      <x:c r="L69" s="3" t="str">
        <x:v>제조사 Ø6/8/3⁄8 클램프·판매자 M8×1.25 확인. MV01 stem Ø8 호환. F06 여분너트로 4040에 고정; 도달범위·강성·이탈은 실물 확인. YMB-BV 제외.
[출하] 국내 툴앤샵 출하 / 카드결제</x:v>
      </x:c>
      <x:c r="M69" s="3"/>
      <x:c r="N69" s="12" t="str">
        <x:v>https://www.toolnshop.kr/view/?goods=11469
noga_official.html + noga_seller.html</x:v>
      </x:c>
    </x:row>
    <x:row r="70" ht="112" customHeight="1">
      <x:c r="A70" s="13" t="str">
        <x:v>BASE</x:v>
      </x:c>
      <x:c r="B70" s="13" t="str">
        <x:v>SH02</x:v>
      </x:c>
      <x:c r="C70" s="13" t="str">
        <x:v>측정 홀더 배송비</x:v>
      </x:c>
      <x:c r="D70" s="13" t="str">
        <x:v>툴앤샵 CJ택배 / 50만원 미만</x:v>
      </x:c>
      <x:c r="E70" s="13" t="str">
        <x:v>툴앤샵</x:v>
      </x:c>
      <x:c r="F70" s="19" t="n">
        <x:v>1</x:v>
      </x:c>
      <x:c r="G70" s="19" t="n">
        <x:v>1</x:v>
      </x:c>
      <x:c r="H70" s="19" t="str">
        <x:v>EA</x:v>
      </x:c>
      <x:c r="I70" s="20" t="n">
        <x:v>3000</x:v>
      </x:c>
      <x:c r="J70" s="20" t="n">
        <x:f>G70*I70</x:f>
        <x:v>3000</x:v>
      </x:c>
      <x:c r="K70" s="13" t="str">
        <x:v>CHECKOUT_RECONFIRM
결제 전 재확인</x:v>
      </x:c>
      <x:c r="L70" s="13" t="str">
        <x:v>홀더142670원 주문에 표시된 배송비 1건.
[출하] 국내배송</x:v>
      </x:c>
      <x:c r="M70" s="3"/>
      <x:c r="N70" s="12" t="str">
        <x:v>https://www.toolnshop.kr/view/?goods=11469
noga_seller.html</x:v>
      </x:c>
    </x:row>
    <x:row r="71" ht="112" customHeight="1">
      <x:c r="A71" s="3" t="str">
        <x:v>BASE</x:v>
      </x:c>
      <x:c r="B71" s="3" t="str">
        <x:v>IF01</x:v>
      </x:c>
      <x:c r="C71" s="3" t="str">
        <x:v>절연 RS485 리피터</x:v>
      </x:c>
      <x:c r="D71" s="3" t="str">
        <x:v>기산 KC522U / K92667398</x:v>
      </x:c>
      <x:c r="E71" s="3" t="str">
        <x:v>나비엠알오</x:v>
      </x:c>
      <x:c r="F71" s="17" t="n">
        <x:v>1</x:v>
      </x:c>
      <x:c r="G71" s="17" t="n">
        <x:v>1</x:v>
      </x:c>
      <x:c r="H71" s="17" t="str">
        <x:v>EA</x:v>
      </x:c>
      <x:c r="I71" s="18" t="n">
        <x:v>153989</x:v>
      </x:c>
      <x:c r="J71" s="18" t="n">
        <x:f>G71*I71</x:f>
        <x:v>153989</x:v>
      </x:c>
      <x:c r="K71" s="3" t="str">
        <x:v>CHECKOUT_RECONFIRM
9/30 출하 표시</x:v>
      </x:c>
      <x:c r="L71" s="3" t="str">
        <x:v>설치용 버스 절연 1대. 10~30V/1.2W, 1000VDC 절연, 최대460800bps. DMC 버스 적용·종단·바이어스 Task3 검토.
[출하] 국내몰 출하 / 원산지 한국</x:v>
      </x:c>
      <x:c r="M71" s="3"/>
      <x:c r="N71" s="12" t="str">
        <x:v>https://www.navimro.com/p/K92667398/
KC522U.html + KC522_manual.pdf</x:v>
      </x:c>
    </x:row>
    <x:row r="72" ht="112" customHeight="1">
      <x:c r="A72" s="13" t="str">
        <x:v>BASE</x:v>
      </x:c>
      <x:c r="B72" s="13" t="str">
        <x:v>CB01</x:v>
      </x:c>
      <x:c r="C72" s="13" t="str">
        <x:v>차폐 3쌍 통신 케이블</x:v>
      </x:c>
      <x:c r="D72" s="13" t="str">
        <x:v>광일전선 UL2919 / 3P×24AWG / 13352</x:v>
      </x:c>
      <x:c r="E72" s="13" t="str">
        <x:v>디바이스마트</x:v>
      </x:c>
      <x:c r="F72" s="19" t="n">
        <x:v>6</x:v>
      </x:c>
      <x:c r="G72" s="19" t="n">
        <x:v>6</x:v>
      </x:c>
      <x:c r="H72" s="19" t="str">
        <x:v>M</x:v>
      </x:c>
      <x:c r="I72" s="20" t="n">
        <x:v>3850</x:v>
      </x:c>
      <x:c r="J72" s="20" t="n">
        <x:f>G72*I72</x:f>
        <x:v>23100</x:v>
      </x:c>
      <x:c r="K72" s="13" t="str">
        <x:v>CHECKOUT_RECONFIRM
3~4일 준비</x:v>
      </x:c>
      <x:c r="L72" s="13" t="str">
        <x:v>6m: 짧은 모터버스 약3m+상하센서 약2m+서비스1m 계획. Task3 배치 후 절단. 체인용 아님; 저속 실내 여유루프. 기존 E16은 접점선.
[출하] 국내 판매·출하 조건 재확인</x:v>
      </x:c>
      <x:c r="M72" s="3"/>
      <x:c r="N72" s="12" t="str">
        <x:v>https://www.devicemart.co.kr/goods/view?no=13352
13352.html / VAT포함3850원·m단위</x:v>
      </x:c>
    </x:row>
    <x:row r="73" ht="112" customHeight="1">
      <x:c r="A73" s="3" t="str">
        <x:v>BASE</x:v>
      </x:c>
      <x:c r="B73" s="3" t="str">
        <x:v>LG01</x:v>
      </x:c>
      <x:c r="C73" s="3" t="str">
        <x:v>HMI 시험로그 USB 메모리</x:v>
      </x:c>
      <x:c r="D73" s="3" t="str">
        <x:v>SanDisk CZ50-32GB / K03155397</x:v>
      </x:c>
      <x:c r="E73" s="3" t="str">
        <x:v>나비엠알오</x:v>
      </x:c>
      <x:c r="F73" s="17" t="n">
        <x:v>1</x:v>
      </x:c>
      <x:c r="G73" s="17" t="n">
        <x:v>1</x:v>
      </x:c>
      <x:c r="H73" s="17" t="str">
        <x:v>EA</x:v>
      </x:c>
      <x:c r="I73" s="18" t="n">
        <x:v>19789</x:v>
      </x:c>
      <x:c r="J73" s="18" t="n">
        <x:f>G73*I73</x:f>
        <x:v>19789</x:v>
      </x:c>
      <x:c r="K73" s="3" t="str">
        <x:v>CHECKOUT_RECONFIRM
9/21 출하 표시</x:v>
      </x:c>
      <x:c r="L73" s="3" t="str">
        <x:v>독립 시연로그·보고서 증거 저장; 32GB FAT32. HMI 실제 로그율/호환성 Task7 검증.
[출하] 국내 판매·출하 조건 재확인</x:v>
      </x:c>
      <x:c r="M73" s="3"/>
      <x:c r="N73" s="12" t="str">
        <x:v>https://www.navimro.com/p/K03155397/
usb.html</x:v>
      </x:c>
    </x:row>
    <x:row r="74" ht="112" customHeight="1">
      <x:c r="A74" s="13" t="str">
        <x:v>BASE</x:v>
      </x:c>
      <x:c r="B74" s="13" t="str">
        <x:v>RT01</x:v>
      </x:c>
      <x:c r="C74" s="13" t="str">
        <x:v>RS485 종단저항</x:v>
      </x:c>
      <x:c r="D74" s="13" t="str">
        <x:v>제일전자 1/4W 1% 121F / 120Ω / 1997</x:v>
      </x:c>
      <x:c r="E74" s="13" t="str">
        <x:v>디바이스마트</x:v>
      </x:c>
      <x:c r="F74" s="19" t="n">
        <x:v>2</x:v>
      </x:c>
      <x:c r="G74" s="19" t="n">
        <x:v>10</x:v>
      </x:c>
      <x:c r="H74" s="19" t="str">
        <x:v>EA</x:v>
      </x:c>
      <x:c r="I74" s="20" t="n">
        <x:v>44</x:v>
      </x:c>
      <x:c r="J74" s="20" t="n">
        <x:f>G74*I74</x:f>
        <x:v>440</x:v>
      </x:c>
      <x:c r="K74" s="13" t="str">
        <x:v>CHECKOUT_RECONFIRM
1~2일 준비</x:v>
      </x:c>
      <x:c r="L74" s="13" t="str">
        <x:v>필요한 버스 끝에만 최대2개 계획. 내장 종단과 중복 금지, Task3 확정. 10개는 최소주문 단위.
[출하] 국내 판매·출하 조건 재확인</x:v>
      </x:c>
      <x:c r="M74" s="3"/>
      <x:c r="N74" s="12" t="str">
        <x:v>https://www.devicemart.co.kr/goods/view?no=1997
resistor.html</x:v>
      </x:c>
    </x:row>
    <x:row r="75" ht="112" customHeight="1">
      <x:c r="A75" s="3" t="str">
        <x:v>BASE</x:v>
      </x:c>
      <x:c r="B75" s="3" t="str">
        <x:v>CB02</x:v>
      </x:c>
      <x:c r="C75" s="3" t="str">
        <x:v>HMI Ethernet 케이블</x:v>
      </x:c>
      <x:c r="D75" s="3" t="str">
        <x:v>Anyport AP-6UTP-2M(G) / 10932540</x:v>
      </x:c>
      <x:c r="E75" s="3" t="str">
        <x:v>디바이스마트</x:v>
      </x:c>
      <x:c r="F75" s="17" t="n">
        <x:v>1</x:v>
      </x:c>
      <x:c r="G75" s="17" t="n">
        <x:v>1</x:v>
      </x:c>
      <x:c r="H75" s="17" t="str">
        <x:v>EA</x:v>
      </x:c>
      <x:c r="I75" s="18" t="n">
        <x:v>1320</x:v>
      </x:c>
      <x:c r="J75" s="18" t="n">
        <x:f>G75*I75</x:f>
        <x:v>1320</x:v>
      </x:c>
      <x:c r="K75" s="3" t="str">
        <x:v>CHECKOUT_RECONFIRM
3~4일 준비</x:v>
      </x:c>
      <x:c r="L75" s="3" t="str">
        <x:v>Portenta-HMI 고정 2m; 이동부에 단선 케이블 사용 금지.
[출하] 국내 판매·출하 조건 재확인</x:v>
      </x:c>
      <x:c r="M75" s="3"/>
      <x:c r="N75" s="12" t="str">
        <x:v>https://www.devicemart.co.kr/goods/view?no=10932540
ethernet_web_evidence.md / HTML archive fetch 실패</x:v>
      </x:c>
    </x:row>
    <x:row r="76" ht="112" customHeight="1">
      <x:c r="A76" s="13" t="str">
        <x:v>BASE</x:v>
      </x:c>
      <x:c r="B76" s="13" t="str">
        <x:v>CB03</x:v>
      </x:c>
      <x:c r="C76" s="13" t="str">
        <x:v>Portenta 프로그래밍 USB 데이터 케이블</x:v>
      </x:c>
      <x:c r="D76" s="13" t="str">
        <x:v>Coms C3886 / USB-A to Micro-B / 1061716</x:v>
      </x:c>
      <x:c r="E76" s="13" t="str">
        <x:v>디바이스마트</x:v>
      </x:c>
      <x:c r="F76" s="19" t="n">
        <x:v>1</x:v>
      </x:c>
      <x:c r="G76" s="19" t="n">
        <x:v>1</x:v>
      </x:c>
      <x:c r="H76" s="19" t="str">
        <x:v>EA</x:v>
      </x:c>
      <x:c r="I76" s="20" t="n">
        <x:v>2750</x:v>
      </x:c>
      <x:c r="J76" s="20" t="n">
        <x:f>G76*I76</x:f>
        <x:v>2750</x:v>
      </x:c>
      <x:c r="K76" s="13" t="str">
        <x:v>CHECKOUT_RECONFIRM
2~3일 준비</x:v>
      </x:c>
      <x:c r="L76" s="13" t="str">
        <x:v>Machine Control 외장 포트는 Micro-B(제조사 핀아웃). H7의 USB-C와 혼동 금지. 기존 Mega 포함선 삭제 후 확보. 판매제목1m/설명1.5m 차이 있으나 직결 진단에 충분; USB-A PC 필요.
[출하] 국내 판매·출하 조건 재확인</x:v>
      </x:c>
      <x:c r="M76" s="3"/>
      <x:c r="N76" s="12" t="str">
        <x:v>https://www.devicemart.co.kr/goods/view?no=1061716
program_micro_usb.html + Task1 AKX00032-full-pinout.pdf / VAT포함2750원</x:v>
      </x:c>
    </x:row>
    <x:row r="77" ht="25" customHeight="1">
      <x:c r="A77" s="3"/>
      <x:c r="B77" s="3"/>
      <x:c r="C77" s="3"/>
      <x:c r="D77" s="3"/>
      <x:c r="E77" s="3"/>
      <x:c r="F77" s="3"/>
      <x:c r="G77" s="3"/>
      <x:c r="H77" s="3"/>
      <x:c r="I77" s="3"/>
      <x:c r="J77" s="3"/>
      <x:c r="K77" s="3"/>
      <x:c r="L77" s="3"/>
      <x:c r="M77" s="3"/>
      <x:c r="N77" s="3"/>
    </x:row>
    <x:row r="78" ht="25" customHeight="1">
      <x:c r="A78" s="23" t="str">
        <x:v>BASE 계획합계 | 수량 × 표시 단가 또는 미확정 충당액 · 예산 판정 보류</x:v>
      </x:c>
      <x:c r="B78" s="23"/>
      <x:c r="C78" s="23"/>
      <x:c r="D78" s="23"/>
      <x:c r="E78" s="23"/>
      <x:c r="F78" s="23"/>
      <x:c r="G78" s="23"/>
      <x:c r="H78" s="23"/>
      <x:c r="I78" s="23"/>
      <x:c r="J78" s="24" t="n">
        <x:f>SUMIF(A9:A76,"BASE",J9:J76)</x:f>
        <x:v>3948854</x:v>
      </x:c>
      <x:c r="K78" s="23"/>
      <x:c r="L78" s="23"/>
      <x:c r="M78" s="3"/>
      <x:c r="N78" s="3"/>
    </x:row>
    <x:row r="79" ht="25" customHeight="1">
      <x:c r="A79" s="3" t="str">
        <x:v>확인 배송6,000원 + 가공 계획150,000원 + 수입·운임 충당109,333원 포함. 최종 도착원가/추가배송/정격/실견적 반영 후 재판정. KC220 제외.</x:v>
      </x:c>
      <x:c r="B79" s="3"/>
      <x:c r="C79" s="3"/>
      <x:c r="D79" s="3"/>
      <x:c r="E79" s="3"/>
      <x:c r="F79" s="3"/>
      <x:c r="G79" s="3"/>
      <x:c r="H79" s="3"/>
      <x:c r="I79" s="3"/>
      <x:c r="J79" s="3"/>
      <x:c r="K79" s="3"/>
      <x:c r="L79" s="3"/>
      <x:c r="M79" s="3"/>
      <x:c r="N79" s="3"/>
    </x:row>
    <x:row r="80" ht="25" customHeight="1">
      <x:c r="A80" s="3" t="str">
        <x:v>근거와 해제 조건: procurement/order_evidence/portenta_order_checklist_2026-09-18.md · 원문 SHA-256: references/vendor_downloads/portenta_bom_task2/source_manifest.csv</x:v>
      </x:c>
      <x:c r="B80" s="3"/>
      <x:c r="C80" s="3"/>
      <x:c r="D80" s="3"/>
      <x:c r="E80" s="3"/>
      <x:c r="F80" s="3"/>
      <x:c r="G80" s="3"/>
      <x:c r="H80" s="3"/>
      <x:c r="I80" s="3"/>
      <x:c r="J80" s="3"/>
      <x:c r="K80" s="3"/>
      <x:c r="L80" s="3"/>
      <x:c r="M80" s="3"/>
      <x:c r="N80" s="3"/>
    </x:row>
    <x:row r="81" ht="25" customHeight="1">
      <x:c r="A81" s="3" t="str">
        <x:v>주문·결제·문의 전송 없음. 시제품 검토이며 안전 인증·현장 안전·사람 탑승 적합성을 주장하지 않습니다.</x:v>
      </x:c>
      <x:c r="B81" s="3"/>
      <x:c r="C81" s="3"/>
      <x:c r="D81" s="3"/>
      <x:c r="E81" s="3"/>
      <x:c r="F81" s="3"/>
      <x:c r="G81" s="3"/>
      <x:c r="H81" s="3"/>
      <x:c r="I81" s="3"/>
      <x:c r="J81" s="3"/>
      <x:c r="K81" s="3"/>
      <x:c r="L81" s="3"/>
      <x:c r="M81" s="3"/>
      <x:c r="N81" s="3"/>
    </x:row>
  </x:sheetData>
  <x:mergeCells>
    <x:mergeCell ref="A1:N1"/>
    <x:mergeCell ref="A2:N2"/>
    <x:mergeCell ref="A3:D3"/>
    <x:mergeCell ref="E3:G3"/>
    <x:mergeCell ref="H3:J3"/>
    <x:mergeCell ref="K3:N3"/>
    <x:mergeCell ref="A4:N4"/>
    <x:mergeCell ref="A5:N5"/>
    <x:mergeCell ref="A6:N6"/>
    <x:mergeCell ref="A78:I78"/>
    <x:mergeCell ref="A79:N79"/>
    <x:mergeCell ref="A80:N80"/>
    <x:mergeCell ref="A81:N81"/>
  </x:mergeCells>
  <x:pageMargins left="0.7" right="0.7" top="0.75" bottom="0.75" header="0.3" footer="0.3"/>
</x:worksheet>
</file>